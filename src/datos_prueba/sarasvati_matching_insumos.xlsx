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pablo\OneDrive\Escritorio\.Programacion\ProyGradoSarasvati\modeloSarasvati\src\datos_prueba\"/>
    </mc:Choice>
  </mc:AlternateContent>
  <xr:revisionPtr revIDLastSave="0" documentId="13_ncr:1_{051A0183-DB4E-410C-A57F-8E4BF8D82B43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Resumen" sheetId="1" r:id="rId1"/>
    <sheet name="Creativos_20" sheetId="2" r:id="rId2"/>
    <sheet name="MiPymes_5" sheetId="3" r:id="rId3"/>
    <sheet name="Criterios_Match" sheetId="4" r:id="rId4"/>
    <sheet name="Pairings_100" sheetId="5" r:id="rId5"/>
    <sheet name="Top3_por_MiPyme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4" l="1"/>
  <c r="V104" i="5"/>
  <c r="U104" i="5"/>
  <c r="T104" i="5"/>
  <c r="S104" i="5"/>
  <c r="R104" i="5"/>
  <c r="Q104" i="5"/>
  <c r="P104" i="5"/>
  <c r="O104" i="5"/>
  <c r="W104" i="5" s="1"/>
  <c r="W103" i="5"/>
  <c r="V103" i="5"/>
  <c r="U103" i="5"/>
  <c r="T103" i="5"/>
  <c r="S103" i="5"/>
  <c r="R103" i="5"/>
  <c r="Q103" i="5"/>
  <c r="P103" i="5"/>
  <c r="O103" i="5"/>
  <c r="V102" i="5"/>
  <c r="U102" i="5"/>
  <c r="T102" i="5"/>
  <c r="S102" i="5"/>
  <c r="R102" i="5"/>
  <c r="W102" i="5" s="1"/>
  <c r="Q102" i="5"/>
  <c r="P102" i="5"/>
  <c r="O102" i="5"/>
  <c r="V101" i="5"/>
  <c r="U101" i="5"/>
  <c r="T101" i="5"/>
  <c r="S101" i="5"/>
  <c r="R101" i="5"/>
  <c r="Q101" i="5"/>
  <c r="P101" i="5"/>
  <c r="O101" i="5"/>
  <c r="V100" i="5"/>
  <c r="U100" i="5"/>
  <c r="T100" i="5"/>
  <c r="S100" i="5"/>
  <c r="R100" i="5"/>
  <c r="Q100" i="5"/>
  <c r="P100" i="5"/>
  <c r="O100" i="5"/>
  <c r="V99" i="5"/>
  <c r="U99" i="5"/>
  <c r="T99" i="5"/>
  <c r="S99" i="5"/>
  <c r="R99" i="5"/>
  <c r="Q99" i="5"/>
  <c r="P99" i="5"/>
  <c r="O99" i="5"/>
  <c r="V98" i="5"/>
  <c r="U98" i="5"/>
  <c r="T98" i="5"/>
  <c r="S98" i="5"/>
  <c r="R98" i="5"/>
  <c r="Q98" i="5"/>
  <c r="P98" i="5"/>
  <c r="O98" i="5"/>
  <c r="V97" i="5"/>
  <c r="U97" i="5"/>
  <c r="T97" i="5"/>
  <c r="S97" i="5"/>
  <c r="R97" i="5"/>
  <c r="Q97" i="5"/>
  <c r="P97" i="5"/>
  <c r="O97" i="5"/>
  <c r="W97" i="5" s="1"/>
  <c r="V96" i="5"/>
  <c r="U96" i="5"/>
  <c r="T96" i="5"/>
  <c r="S96" i="5"/>
  <c r="R96" i="5"/>
  <c r="Q96" i="5"/>
  <c r="P96" i="5"/>
  <c r="O96" i="5"/>
  <c r="V95" i="5"/>
  <c r="U95" i="5"/>
  <c r="T95" i="5"/>
  <c r="S95" i="5"/>
  <c r="R95" i="5"/>
  <c r="Q95" i="5"/>
  <c r="P95" i="5"/>
  <c r="O95" i="5"/>
  <c r="V94" i="5"/>
  <c r="U94" i="5"/>
  <c r="T94" i="5"/>
  <c r="S94" i="5"/>
  <c r="R94" i="5"/>
  <c r="Q94" i="5"/>
  <c r="P94" i="5"/>
  <c r="O94" i="5"/>
  <c r="V93" i="5"/>
  <c r="U93" i="5"/>
  <c r="T93" i="5"/>
  <c r="S93" i="5"/>
  <c r="R93" i="5"/>
  <c r="Q93" i="5"/>
  <c r="P93" i="5"/>
  <c r="O93" i="5"/>
  <c r="V92" i="5"/>
  <c r="U92" i="5"/>
  <c r="T92" i="5"/>
  <c r="S92" i="5"/>
  <c r="R92" i="5"/>
  <c r="Q92" i="5"/>
  <c r="W92" i="5" s="1"/>
  <c r="P92" i="5"/>
  <c r="O92" i="5"/>
  <c r="V91" i="5"/>
  <c r="U91" i="5"/>
  <c r="T91" i="5"/>
  <c r="S91" i="5"/>
  <c r="R91" i="5"/>
  <c r="Q91" i="5"/>
  <c r="P91" i="5"/>
  <c r="O91" i="5"/>
  <c r="W91" i="5" s="1"/>
  <c r="V90" i="5"/>
  <c r="U90" i="5"/>
  <c r="T90" i="5"/>
  <c r="S90" i="5"/>
  <c r="R90" i="5"/>
  <c r="Q90" i="5"/>
  <c r="P90" i="5"/>
  <c r="O90" i="5"/>
  <c r="V89" i="5"/>
  <c r="U89" i="5"/>
  <c r="T89" i="5"/>
  <c r="S89" i="5"/>
  <c r="W89" i="5" s="1"/>
  <c r="R89" i="5"/>
  <c r="Q89" i="5"/>
  <c r="P89" i="5"/>
  <c r="O89" i="5"/>
  <c r="V88" i="5"/>
  <c r="U88" i="5"/>
  <c r="T88" i="5"/>
  <c r="S88" i="5"/>
  <c r="R88" i="5"/>
  <c r="Q88" i="5"/>
  <c r="P88" i="5"/>
  <c r="O88" i="5"/>
  <c r="W88" i="5" s="1"/>
  <c r="V87" i="5"/>
  <c r="U87" i="5"/>
  <c r="T87" i="5"/>
  <c r="S87" i="5"/>
  <c r="R87" i="5"/>
  <c r="Q87" i="5"/>
  <c r="P87" i="5"/>
  <c r="O87" i="5"/>
  <c r="V86" i="5"/>
  <c r="U86" i="5"/>
  <c r="T86" i="5"/>
  <c r="S86" i="5"/>
  <c r="R86" i="5"/>
  <c r="Q86" i="5"/>
  <c r="W86" i="5" s="1"/>
  <c r="P86" i="5"/>
  <c r="O86" i="5"/>
  <c r="V85" i="5"/>
  <c r="U85" i="5"/>
  <c r="T85" i="5"/>
  <c r="S85" i="5"/>
  <c r="R85" i="5"/>
  <c r="Q85" i="5"/>
  <c r="P85" i="5"/>
  <c r="O85" i="5"/>
  <c r="W85" i="5" s="1"/>
  <c r="V84" i="5"/>
  <c r="U84" i="5"/>
  <c r="T84" i="5"/>
  <c r="S84" i="5"/>
  <c r="R84" i="5"/>
  <c r="Q84" i="5"/>
  <c r="P84" i="5"/>
  <c r="O84" i="5"/>
  <c r="V83" i="5"/>
  <c r="U83" i="5"/>
  <c r="T83" i="5"/>
  <c r="S83" i="5"/>
  <c r="W83" i="5" s="1"/>
  <c r="R83" i="5"/>
  <c r="Q83" i="5"/>
  <c r="P83" i="5"/>
  <c r="O83" i="5"/>
  <c r="V82" i="5"/>
  <c r="U82" i="5"/>
  <c r="T82" i="5"/>
  <c r="S82" i="5"/>
  <c r="R82" i="5"/>
  <c r="Q82" i="5"/>
  <c r="P82" i="5"/>
  <c r="O82" i="5"/>
  <c r="V81" i="5"/>
  <c r="U81" i="5"/>
  <c r="T81" i="5"/>
  <c r="S81" i="5"/>
  <c r="R81" i="5"/>
  <c r="Q81" i="5"/>
  <c r="P81" i="5"/>
  <c r="O81" i="5"/>
  <c r="V80" i="5"/>
  <c r="U80" i="5"/>
  <c r="T80" i="5"/>
  <c r="S80" i="5"/>
  <c r="R80" i="5"/>
  <c r="Q80" i="5"/>
  <c r="P80" i="5"/>
  <c r="O80" i="5"/>
  <c r="V79" i="5"/>
  <c r="U79" i="5"/>
  <c r="T79" i="5"/>
  <c r="S79" i="5"/>
  <c r="R79" i="5"/>
  <c r="Q79" i="5"/>
  <c r="P79" i="5"/>
  <c r="O79" i="5"/>
  <c r="W79" i="5" s="1"/>
  <c r="V78" i="5"/>
  <c r="U78" i="5"/>
  <c r="T78" i="5"/>
  <c r="S78" i="5"/>
  <c r="R78" i="5"/>
  <c r="Q78" i="5"/>
  <c r="P78" i="5"/>
  <c r="O78" i="5"/>
  <c r="V77" i="5"/>
  <c r="U77" i="5"/>
  <c r="T77" i="5"/>
  <c r="S77" i="5"/>
  <c r="W77" i="5" s="1"/>
  <c r="R77" i="5"/>
  <c r="Q77" i="5"/>
  <c r="P77" i="5"/>
  <c r="O77" i="5"/>
  <c r="V76" i="5"/>
  <c r="U76" i="5"/>
  <c r="T76" i="5"/>
  <c r="S76" i="5"/>
  <c r="R76" i="5"/>
  <c r="Q76" i="5"/>
  <c r="P76" i="5"/>
  <c r="O76" i="5"/>
  <c r="V75" i="5"/>
  <c r="U75" i="5"/>
  <c r="T75" i="5"/>
  <c r="S75" i="5"/>
  <c r="R75" i="5"/>
  <c r="Q75" i="5"/>
  <c r="P75" i="5"/>
  <c r="O75" i="5"/>
  <c r="V74" i="5"/>
  <c r="U74" i="5"/>
  <c r="T74" i="5"/>
  <c r="S74" i="5"/>
  <c r="R74" i="5"/>
  <c r="Q74" i="5"/>
  <c r="P74" i="5"/>
  <c r="O74" i="5"/>
  <c r="W73" i="5"/>
  <c r="V73" i="5"/>
  <c r="U73" i="5"/>
  <c r="T73" i="5"/>
  <c r="S73" i="5"/>
  <c r="R73" i="5"/>
  <c r="Q73" i="5"/>
  <c r="P73" i="5"/>
  <c r="O73" i="5"/>
  <c r="V72" i="5"/>
  <c r="U72" i="5"/>
  <c r="T72" i="5"/>
  <c r="S72" i="5"/>
  <c r="R72" i="5"/>
  <c r="Q72" i="5"/>
  <c r="P72" i="5"/>
  <c r="O72" i="5"/>
  <c r="V71" i="5"/>
  <c r="U71" i="5"/>
  <c r="T71" i="5"/>
  <c r="S71" i="5"/>
  <c r="R71" i="5"/>
  <c r="Q71" i="5"/>
  <c r="P71" i="5"/>
  <c r="O71" i="5"/>
  <c r="V70" i="5"/>
  <c r="U70" i="5"/>
  <c r="T70" i="5"/>
  <c r="S70" i="5"/>
  <c r="R70" i="5"/>
  <c r="Q70" i="5"/>
  <c r="P70" i="5"/>
  <c r="O70" i="5"/>
  <c r="V69" i="5"/>
  <c r="U69" i="5"/>
  <c r="T69" i="5"/>
  <c r="S69" i="5"/>
  <c r="R69" i="5"/>
  <c r="Q69" i="5"/>
  <c r="P69" i="5"/>
  <c r="O69" i="5"/>
  <c r="V68" i="5"/>
  <c r="U68" i="5"/>
  <c r="T68" i="5"/>
  <c r="S68" i="5"/>
  <c r="R68" i="5"/>
  <c r="Q68" i="5"/>
  <c r="P68" i="5"/>
  <c r="O68" i="5"/>
  <c r="V67" i="5"/>
  <c r="U67" i="5"/>
  <c r="T67" i="5"/>
  <c r="S67" i="5"/>
  <c r="R67" i="5"/>
  <c r="Q67" i="5"/>
  <c r="P67" i="5"/>
  <c r="W67" i="5" s="1"/>
  <c r="O67" i="5"/>
  <c r="V66" i="5"/>
  <c r="U66" i="5"/>
  <c r="T66" i="5"/>
  <c r="S66" i="5"/>
  <c r="R66" i="5"/>
  <c r="Q66" i="5"/>
  <c r="P66" i="5"/>
  <c r="O66" i="5"/>
  <c r="W66" i="5" s="1"/>
  <c r="V65" i="5"/>
  <c r="U65" i="5"/>
  <c r="T65" i="5"/>
  <c r="S65" i="5"/>
  <c r="R65" i="5"/>
  <c r="Q65" i="5"/>
  <c r="P65" i="5"/>
  <c r="O65" i="5"/>
  <c r="V64" i="5"/>
  <c r="U64" i="5"/>
  <c r="T64" i="5"/>
  <c r="S64" i="5"/>
  <c r="R64" i="5"/>
  <c r="Q64" i="5"/>
  <c r="P64" i="5"/>
  <c r="O64" i="5"/>
  <c r="V63" i="5"/>
  <c r="U63" i="5"/>
  <c r="T63" i="5"/>
  <c r="S63" i="5"/>
  <c r="R63" i="5"/>
  <c r="Q63" i="5"/>
  <c r="P63" i="5"/>
  <c r="O63" i="5"/>
  <c r="W63" i="5" s="1"/>
  <c r="V62" i="5"/>
  <c r="U62" i="5"/>
  <c r="T62" i="5"/>
  <c r="S62" i="5"/>
  <c r="R62" i="5"/>
  <c r="Q62" i="5"/>
  <c r="P62" i="5"/>
  <c r="O62" i="5"/>
  <c r="V61" i="5"/>
  <c r="U61" i="5"/>
  <c r="T61" i="5"/>
  <c r="S61" i="5"/>
  <c r="R61" i="5"/>
  <c r="Q61" i="5"/>
  <c r="P61" i="5"/>
  <c r="W61" i="5" s="1"/>
  <c r="O61" i="5"/>
  <c r="V60" i="5"/>
  <c r="U60" i="5"/>
  <c r="T60" i="5"/>
  <c r="S60" i="5"/>
  <c r="R60" i="5"/>
  <c r="Q60" i="5"/>
  <c r="P60" i="5"/>
  <c r="O60" i="5"/>
  <c r="W60" i="5" s="1"/>
  <c r="V59" i="5"/>
  <c r="U59" i="5"/>
  <c r="T59" i="5"/>
  <c r="S59" i="5"/>
  <c r="R59" i="5"/>
  <c r="Q59" i="5"/>
  <c r="P59" i="5"/>
  <c r="O59" i="5"/>
  <c r="V58" i="5"/>
  <c r="U58" i="5"/>
  <c r="T58" i="5"/>
  <c r="S58" i="5"/>
  <c r="R58" i="5"/>
  <c r="Q58" i="5"/>
  <c r="P58" i="5"/>
  <c r="O58" i="5"/>
  <c r="V57" i="5"/>
  <c r="U57" i="5"/>
  <c r="T57" i="5"/>
  <c r="S57" i="5"/>
  <c r="R57" i="5"/>
  <c r="Q57" i="5"/>
  <c r="P57" i="5"/>
  <c r="O57" i="5"/>
  <c r="W57" i="5" s="1"/>
  <c r="V56" i="5"/>
  <c r="U56" i="5"/>
  <c r="T56" i="5"/>
  <c r="S56" i="5"/>
  <c r="R56" i="5"/>
  <c r="Q56" i="5"/>
  <c r="P56" i="5"/>
  <c r="O56" i="5"/>
  <c r="V55" i="5"/>
  <c r="U55" i="5"/>
  <c r="T55" i="5"/>
  <c r="S55" i="5"/>
  <c r="R55" i="5"/>
  <c r="Q55" i="5"/>
  <c r="P55" i="5"/>
  <c r="W55" i="5" s="1"/>
  <c r="O55" i="5"/>
  <c r="V54" i="5"/>
  <c r="U54" i="5"/>
  <c r="T54" i="5"/>
  <c r="S54" i="5"/>
  <c r="R54" i="5"/>
  <c r="Q54" i="5"/>
  <c r="P54" i="5"/>
  <c r="O54" i="5"/>
  <c r="W54" i="5" s="1"/>
  <c r="V53" i="5"/>
  <c r="U53" i="5"/>
  <c r="T53" i="5"/>
  <c r="S53" i="5"/>
  <c r="R53" i="5"/>
  <c r="Q53" i="5"/>
  <c r="P53" i="5"/>
  <c r="O53" i="5"/>
  <c r="V52" i="5"/>
  <c r="U52" i="5"/>
  <c r="T52" i="5"/>
  <c r="S52" i="5"/>
  <c r="R52" i="5"/>
  <c r="Q52" i="5"/>
  <c r="P52" i="5"/>
  <c r="O52" i="5"/>
  <c r="V51" i="5"/>
  <c r="U51" i="5"/>
  <c r="T51" i="5"/>
  <c r="S51" i="5"/>
  <c r="R51" i="5"/>
  <c r="Q51" i="5"/>
  <c r="P51" i="5"/>
  <c r="O51" i="5"/>
  <c r="W51" i="5" s="1"/>
  <c r="V50" i="5"/>
  <c r="U50" i="5"/>
  <c r="T50" i="5"/>
  <c r="S50" i="5"/>
  <c r="R50" i="5"/>
  <c r="Q50" i="5"/>
  <c r="P50" i="5"/>
  <c r="O50" i="5"/>
  <c r="W50" i="5" s="1"/>
  <c r="V49" i="5"/>
  <c r="U49" i="5"/>
  <c r="T49" i="5"/>
  <c r="S49" i="5"/>
  <c r="R49" i="5"/>
  <c r="Q49" i="5"/>
  <c r="P49" i="5"/>
  <c r="W49" i="5" s="1"/>
  <c r="O49" i="5"/>
  <c r="V48" i="5"/>
  <c r="U48" i="5"/>
  <c r="T48" i="5"/>
  <c r="S48" i="5"/>
  <c r="R48" i="5"/>
  <c r="Q48" i="5"/>
  <c r="P48" i="5"/>
  <c r="O48" i="5"/>
  <c r="W48" i="5" s="1"/>
  <c r="V47" i="5"/>
  <c r="U47" i="5"/>
  <c r="T47" i="5"/>
  <c r="S47" i="5"/>
  <c r="R47" i="5"/>
  <c r="Q47" i="5"/>
  <c r="P47" i="5"/>
  <c r="O47" i="5"/>
  <c r="V46" i="5"/>
  <c r="U46" i="5"/>
  <c r="T46" i="5"/>
  <c r="S46" i="5"/>
  <c r="R46" i="5"/>
  <c r="Q46" i="5"/>
  <c r="P46" i="5"/>
  <c r="O46" i="5"/>
  <c r="V45" i="5"/>
  <c r="U45" i="5"/>
  <c r="T45" i="5"/>
  <c r="S45" i="5"/>
  <c r="R45" i="5"/>
  <c r="Q45" i="5"/>
  <c r="P45" i="5"/>
  <c r="O45" i="5"/>
  <c r="W45" i="5" s="1"/>
  <c r="V44" i="5"/>
  <c r="U44" i="5"/>
  <c r="T44" i="5"/>
  <c r="S44" i="5"/>
  <c r="R44" i="5"/>
  <c r="Q44" i="5"/>
  <c r="P44" i="5"/>
  <c r="O44" i="5"/>
  <c r="V43" i="5"/>
  <c r="U43" i="5"/>
  <c r="T43" i="5"/>
  <c r="S43" i="5"/>
  <c r="R43" i="5"/>
  <c r="Q43" i="5"/>
  <c r="P43" i="5"/>
  <c r="W43" i="5" s="1"/>
  <c r="O43" i="5"/>
  <c r="V42" i="5"/>
  <c r="U42" i="5"/>
  <c r="T42" i="5"/>
  <c r="S42" i="5"/>
  <c r="R42" i="5"/>
  <c r="Q42" i="5"/>
  <c r="P42" i="5"/>
  <c r="O42" i="5"/>
  <c r="W42" i="5" s="1"/>
  <c r="V41" i="5"/>
  <c r="U41" i="5"/>
  <c r="T41" i="5"/>
  <c r="S41" i="5"/>
  <c r="R41" i="5"/>
  <c r="Q41" i="5"/>
  <c r="P41" i="5"/>
  <c r="O41" i="5"/>
  <c r="V40" i="5"/>
  <c r="U40" i="5"/>
  <c r="T40" i="5"/>
  <c r="S40" i="5"/>
  <c r="R40" i="5"/>
  <c r="Q40" i="5"/>
  <c r="P40" i="5"/>
  <c r="O40" i="5"/>
  <c r="V39" i="5"/>
  <c r="U39" i="5"/>
  <c r="T39" i="5"/>
  <c r="S39" i="5"/>
  <c r="R39" i="5"/>
  <c r="Q39" i="5"/>
  <c r="P39" i="5"/>
  <c r="O39" i="5"/>
  <c r="W39" i="5" s="1"/>
  <c r="V38" i="5"/>
  <c r="U38" i="5"/>
  <c r="T38" i="5"/>
  <c r="S38" i="5"/>
  <c r="R38" i="5"/>
  <c r="Q38" i="5"/>
  <c r="P38" i="5"/>
  <c r="O38" i="5"/>
  <c r="W38" i="5" s="1"/>
  <c r="V37" i="5"/>
  <c r="U37" i="5"/>
  <c r="T37" i="5"/>
  <c r="S37" i="5"/>
  <c r="R37" i="5"/>
  <c r="W37" i="5" s="1"/>
  <c r="Q37" i="5"/>
  <c r="P37" i="5"/>
  <c r="O37" i="5"/>
  <c r="V36" i="5"/>
  <c r="U36" i="5"/>
  <c r="T36" i="5"/>
  <c r="S36" i="5"/>
  <c r="R36" i="5"/>
  <c r="Q36" i="5"/>
  <c r="P36" i="5"/>
  <c r="O36" i="5"/>
  <c r="V35" i="5"/>
  <c r="U35" i="5"/>
  <c r="T35" i="5"/>
  <c r="S35" i="5"/>
  <c r="R35" i="5"/>
  <c r="Q35" i="5"/>
  <c r="P35" i="5"/>
  <c r="O35" i="5"/>
  <c r="V34" i="5"/>
  <c r="U34" i="5"/>
  <c r="T34" i="5"/>
  <c r="S34" i="5"/>
  <c r="R34" i="5"/>
  <c r="Q34" i="5"/>
  <c r="P34" i="5"/>
  <c r="O34" i="5"/>
  <c r="V33" i="5"/>
  <c r="U33" i="5"/>
  <c r="T33" i="5"/>
  <c r="S33" i="5"/>
  <c r="R33" i="5"/>
  <c r="Q33" i="5"/>
  <c r="P33" i="5"/>
  <c r="O33" i="5"/>
  <c r="V32" i="5"/>
  <c r="U32" i="5"/>
  <c r="T32" i="5"/>
  <c r="S32" i="5"/>
  <c r="R32" i="5"/>
  <c r="Q32" i="5"/>
  <c r="P32" i="5"/>
  <c r="O32" i="5"/>
  <c r="V31" i="5"/>
  <c r="U31" i="5"/>
  <c r="T31" i="5"/>
  <c r="S31" i="5"/>
  <c r="R31" i="5"/>
  <c r="W31" i="5" s="1"/>
  <c r="Q31" i="5"/>
  <c r="P31" i="5"/>
  <c r="O31" i="5"/>
  <c r="V30" i="5"/>
  <c r="U30" i="5"/>
  <c r="T30" i="5"/>
  <c r="S30" i="5"/>
  <c r="R30" i="5"/>
  <c r="Q30" i="5"/>
  <c r="P30" i="5"/>
  <c r="O30" i="5"/>
  <c r="V29" i="5"/>
  <c r="U29" i="5"/>
  <c r="T29" i="5"/>
  <c r="S29" i="5"/>
  <c r="R29" i="5"/>
  <c r="Q29" i="5"/>
  <c r="P29" i="5"/>
  <c r="O29" i="5"/>
  <c r="V28" i="5"/>
  <c r="U28" i="5"/>
  <c r="T28" i="5"/>
  <c r="S28" i="5"/>
  <c r="R28" i="5"/>
  <c r="Q28" i="5"/>
  <c r="P28" i="5"/>
  <c r="O28" i="5"/>
  <c r="V27" i="5"/>
  <c r="U27" i="5"/>
  <c r="T27" i="5"/>
  <c r="S27" i="5"/>
  <c r="R27" i="5"/>
  <c r="Q27" i="5"/>
  <c r="P27" i="5"/>
  <c r="O27" i="5"/>
  <c r="W27" i="5" s="1"/>
  <c r="V26" i="5"/>
  <c r="U26" i="5"/>
  <c r="T26" i="5"/>
  <c r="S26" i="5"/>
  <c r="R26" i="5"/>
  <c r="Q26" i="5"/>
  <c r="P26" i="5"/>
  <c r="O26" i="5"/>
  <c r="V25" i="5"/>
  <c r="U25" i="5"/>
  <c r="T25" i="5"/>
  <c r="S25" i="5"/>
  <c r="R25" i="5"/>
  <c r="W25" i="5" s="1"/>
  <c r="Q25" i="5"/>
  <c r="P25" i="5"/>
  <c r="O25" i="5"/>
  <c r="V24" i="5"/>
  <c r="U24" i="5"/>
  <c r="T24" i="5"/>
  <c r="S24" i="5"/>
  <c r="R24" i="5"/>
  <c r="Q24" i="5"/>
  <c r="P24" i="5"/>
  <c r="O24" i="5"/>
  <c r="V23" i="5"/>
  <c r="U23" i="5"/>
  <c r="T23" i="5"/>
  <c r="S23" i="5"/>
  <c r="R23" i="5"/>
  <c r="Q23" i="5"/>
  <c r="P23" i="5"/>
  <c r="O23" i="5"/>
  <c r="V22" i="5"/>
  <c r="U22" i="5"/>
  <c r="T22" i="5"/>
  <c r="S22" i="5"/>
  <c r="R22" i="5"/>
  <c r="Q22" i="5"/>
  <c r="P22" i="5"/>
  <c r="O22" i="5"/>
  <c r="V21" i="5"/>
  <c r="U21" i="5"/>
  <c r="T21" i="5"/>
  <c r="S21" i="5"/>
  <c r="R21" i="5"/>
  <c r="Q21" i="5"/>
  <c r="P21" i="5"/>
  <c r="O21" i="5"/>
  <c r="W21" i="5" s="1"/>
  <c r="V20" i="5"/>
  <c r="U20" i="5"/>
  <c r="T20" i="5"/>
  <c r="S20" i="5"/>
  <c r="R20" i="5"/>
  <c r="Q20" i="5"/>
  <c r="P20" i="5"/>
  <c r="O20" i="5"/>
  <c r="V19" i="5"/>
  <c r="U19" i="5"/>
  <c r="T19" i="5"/>
  <c r="S19" i="5"/>
  <c r="R19" i="5"/>
  <c r="Q19" i="5"/>
  <c r="P19" i="5"/>
  <c r="O19" i="5"/>
  <c r="V18" i="5"/>
  <c r="U18" i="5"/>
  <c r="T18" i="5"/>
  <c r="S18" i="5"/>
  <c r="R18" i="5"/>
  <c r="Q18" i="5"/>
  <c r="P18" i="5"/>
  <c r="O18" i="5"/>
  <c r="V17" i="5"/>
  <c r="U17" i="5"/>
  <c r="T17" i="5"/>
  <c r="S17" i="5"/>
  <c r="R17" i="5"/>
  <c r="Q17" i="5"/>
  <c r="P17" i="5"/>
  <c r="O17" i="5"/>
  <c r="V16" i="5"/>
  <c r="U16" i="5"/>
  <c r="T16" i="5"/>
  <c r="S16" i="5"/>
  <c r="R16" i="5"/>
  <c r="Q16" i="5"/>
  <c r="P16" i="5"/>
  <c r="O16" i="5"/>
  <c r="V15" i="5"/>
  <c r="U15" i="5"/>
  <c r="T15" i="5"/>
  <c r="S15" i="5"/>
  <c r="R15" i="5"/>
  <c r="Q15" i="5"/>
  <c r="P15" i="5"/>
  <c r="O15" i="5"/>
  <c r="W15" i="5" s="1"/>
  <c r="V14" i="5"/>
  <c r="U14" i="5"/>
  <c r="T14" i="5"/>
  <c r="S14" i="5"/>
  <c r="R14" i="5"/>
  <c r="Q14" i="5"/>
  <c r="P14" i="5"/>
  <c r="O14" i="5"/>
  <c r="V13" i="5"/>
  <c r="U13" i="5"/>
  <c r="T13" i="5"/>
  <c r="S13" i="5"/>
  <c r="R13" i="5"/>
  <c r="Q13" i="5"/>
  <c r="P13" i="5"/>
  <c r="O13" i="5"/>
  <c r="V12" i="5"/>
  <c r="U12" i="5"/>
  <c r="T12" i="5"/>
  <c r="S12" i="5"/>
  <c r="R12" i="5"/>
  <c r="Q12" i="5"/>
  <c r="P12" i="5"/>
  <c r="O12" i="5"/>
  <c r="V11" i="5"/>
  <c r="U11" i="5"/>
  <c r="T11" i="5"/>
  <c r="S11" i="5"/>
  <c r="R11" i="5"/>
  <c r="Q11" i="5"/>
  <c r="P11" i="5"/>
  <c r="O11" i="5"/>
  <c r="V10" i="5"/>
  <c r="U10" i="5"/>
  <c r="T10" i="5"/>
  <c r="S10" i="5"/>
  <c r="R10" i="5"/>
  <c r="Q10" i="5"/>
  <c r="P10" i="5"/>
  <c r="O10" i="5"/>
  <c r="V9" i="5"/>
  <c r="U9" i="5"/>
  <c r="T9" i="5"/>
  <c r="S9" i="5"/>
  <c r="R9" i="5"/>
  <c r="Q9" i="5"/>
  <c r="P9" i="5"/>
  <c r="O9" i="5"/>
  <c r="W9" i="5" s="1"/>
  <c r="V8" i="5"/>
  <c r="U8" i="5"/>
  <c r="T8" i="5"/>
  <c r="S8" i="5"/>
  <c r="R8" i="5"/>
  <c r="Q8" i="5"/>
  <c r="P8" i="5"/>
  <c r="O8" i="5"/>
  <c r="V7" i="5"/>
  <c r="U7" i="5"/>
  <c r="T7" i="5"/>
  <c r="S7" i="5"/>
  <c r="R7" i="5"/>
  <c r="Q7" i="5"/>
  <c r="P7" i="5"/>
  <c r="O7" i="5"/>
  <c r="V6" i="5"/>
  <c r="U6" i="5"/>
  <c r="T6" i="5"/>
  <c r="S6" i="5"/>
  <c r="R6" i="5"/>
  <c r="Q6" i="5"/>
  <c r="P6" i="5"/>
  <c r="O6" i="5"/>
  <c r="V5" i="5"/>
  <c r="U5" i="5"/>
  <c r="T5" i="5"/>
  <c r="S5" i="5"/>
  <c r="R5" i="5"/>
  <c r="Q5" i="5"/>
  <c r="P5" i="5"/>
  <c r="O5" i="5"/>
  <c r="W78" i="5" l="1"/>
  <c r="W81" i="5"/>
  <c r="W84" i="5"/>
  <c r="W87" i="5"/>
  <c r="W90" i="5"/>
  <c r="W93" i="5"/>
  <c r="W96" i="5"/>
  <c r="W8" i="5"/>
  <c r="W20" i="5"/>
  <c r="W75" i="5"/>
  <c r="W26" i="5"/>
  <c r="X39" i="5" s="1"/>
  <c r="W14" i="5"/>
  <c r="W32" i="5"/>
  <c r="W33" i="5"/>
  <c r="W36" i="5"/>
  <c r="W95" i="5"/>
  <c r="W5" i="5"/>
  <c r="W7" i="5"/>
  <c r="W11" i="5"/>
  <c r="W13" i="5"/>
  <c r="W17" i="5"/>
  <c r="W19" i="5"/>
  <c r="W44" i="5"/>
  <c r="W69" i="5"/>
  <c r="X74" i="5" s="1"/>
  <c r="W72" i="5"/>
  <c r="W64" i="5"/>
  <c r="W12" i="5"/>
  <c r="W70" i="5"/>
  <c r="W30" i="5"/>
  <c r="W99" i="5"/>
  <c r="X99" i="5" s="1"/>
  <c r="W18" i="5"/>
  <c r="W56" i="5"/>
  <c r="W24" i="5"/>
  <c r="W62" i="5"/>
  <c r="X62" i="5" s="1"/>
  <c r="W76" i="5"/>
  <c r="X95" i="5"/>
  <c r="W16" i="5"/>
  <c r="W29" i="5"/>
  <c r="W101" i="5"/>
  <c r="W94" i="5"/>
  <c r="W28" i="5"/>
  <c r="W41" i="5"/>
  <c r="W100" i="5"/>
  <c r="W35" i="5"/>
  <c r="W34" i="5"/>
  <c r="W47" i="5"/>
  <c r="X103" i="5"/>
  <c r="W82" i="5"/>
  <c r="W22" i="5"/>
  <c r="W40" i="5"/>
  <c r="W53" i="5"/>
  <c r="W10" i="5"/>
  <c r="W46" i="5"/>
  <c r="W59" i="5"/>
  <c r="W68" i="5"/>
  <c r="X86" i="5"/>
  <c r="W98" i="5"/>
  <c r="X102" i="5" s="1"/>
  <c r="W23" i="5"/>
  <c r="W6" i="5"/>
  <c r="X8" i="5" s="1"/>
  <c r="W52" i="5"/>
  <c r="X52" i="5" s="1"/>
  <c r="W65" i="5"/>
  <c r="W74" i="5"/>
  <c r="W58" i="5"/>
  <c r="W71" i="5"/>
  <c r="W80" i="5"/>
  <c r="X88" i="5"/>
  <c r="X89" i="5"/>
  <c r="X98" i="5"/>
  <c r="X94" i="5"/>
  <c r="X93" i="5"/>
  <c r="X96" i="5"/>
  <c r="X85" i="5"/>
  <c r="X91" i="5"/>
  <c r="X104" i="5"/>
  <c r="X53" i="5" l="1"/>
  <c r="X32" i="5"/>
  <c r="X63" i="5"/>
  <c r="X87" i="5"/>
  <c r="X11" i="5"/>
  <c r="X100" i="5"/>
  <c r="X97" i="5"/>
  <c r="X51" i="5"/>
  <c r="X80" i="5"/>
  <c r="X45" i="5"/>
  <c r="X6" i="5"/>
  <c r="X57" i="5"/>
  <c r="X90" i="5"/>
  <c r="X5" i="5"/>
  <c r="X17" i="5"/>
  <c r="X12" i="5"/>
  <c r="X26" i="5"/>
  <c r="X92" i="5"/>
  <c r="X66" i="5"/>
  <c r="X19" i="5"/>
  <c r="X59" i="5"/>
  <c r="X101" i="5"/>
  <c r="X60" i="5"/>
  <c r="X70" i="5"/>
  <c r="X38" i="5"/>
  <c r="X49" i="5"/>
  <c r="X18" i="5"/>
  <c r="X31" i="5"/>
  <c r="X14" i="5"/>
  <c r="X68" i="5"/>
  <c r="X29" i="5"/>
  <c r="X73" i="5"/>
  <c r="X84" i="5"/>
  <c r="X16" i="5"/>
  <c r="X54" i="5"/>
  <c r="X81" i="5"/>
  <c r="X82" i="5"/>
  <c r="X83" i="5"/>
  <c r="X41" i="5"/>
  <c r="X46" i="5"/>
  <c r="X79" i="5"/>
  <c r="X61" i="5"/>
  <c r="X30" i="5"/>
  <c r="X47" i="5"/>
  <c r="X75" i="5"/>
  <c r="X36" i="5"/>
  <c r="X40" i="5"/>
  <c r="X50" i="5"/>
  <c r="X56" i="5"/>
  <c r="X37" i="5"/>
  <c r="X28" i="5"/>
  <c r="X23" i="5"/>
  <c r="X33" i="5"/>
  <c r="X7" i="5"/>
  <c r="X69" i="5"/>
  <c r="X35" i="5"/>
  <c r="X24" i="5"/>
  <c r="X71" i="5"/>
  <c r="X10" i="5"/>
  <c r="X13" i="5"/>
  <c r="X21" i="5"/>
  <c r="X22" i="5"/>
  <c r="X64" i="5"/>
  <c r="X58" i="5"/>
  <c r="X77" i="5"/>
  <c r="X67" i="5"/>
  <c r="X9" i="5"/>
  <c r="X48" i="5"/>
  <c r="X20" i="5"/>
  <c r="X78" i="5"/>
  <c r="X15" i="5"/>
  <c r="X27" i="5"/>
  <c r="X44" i="5"/>
  <c r="X55" i="5"/>
  <c r="X25" i="5"/>
  <c r="X65" i="5"/>
  <c r="X42" i="5"/>
  <c r="X34" i="5"/>
  <c r="X43" i="5"/>
  <c r="X72" i="5"/>
  <c r="X76" i="5"/>
</calcChain>
</file>

<file path=xl/sharedStrings.xml><?xml version="1.0" encoding="utf-8"?>
<sst xmlns="http://schemas.openxmlformats.org/spreadsheetml/2006/main" count="1525" uniqueCount="424">
  <si>
    <t>Base sintética para algoritmo de matching — Sarasvati</t>
  </si>
  <si>
    <t>Perfiles falsos para pruebas del MVP. Incluye 20 creativos, 5 MiPymes, criterios defendibles, matriz de emparejamiento y Top 3 por caso.</t>
  </si>
  <si>
    <t>Indicador</t>
  </si>
  <si>
    <t>Valor</t>
  </si>
  <si>
    <t>Idea clave</t>
  </si>
  <si>
    <t>Creativos sintéticos</t>
  </si>
  <si>
    <t>El match no debe premiar solo portafolio o precio, sino compatibilidad operativa entre necesidad, presupuesto, guía requerida, tiempos y cobertura real del servicio.</t>
  </si>
  <si>
    <t>MiPymes sintéticas</t>
  </si>
  <si>
    <t>Qué cuenta como 'match perfecto'</t>
  </si>
  <si>
    <t>Emparejamientos evaluados</t>
  </si>
  <si>
    <t>1) Cubre los frentes críticos del proyecto.</t>
  </si>
  <si>
    <t>Criterios medibles hoy</t>
  </si>
  <si>
    <t>2) Puede trabajar dentro del presupuesto o sabe cotizarlo sin fricción.</t>
  </si>
  <si>
    <t>3) Su forma de trabajar encaja con el nivel de acompañamiento que necesita la MiPyme.</t>
  </si>
  <si>
    <t>4) No depende de datos que aún no capturas (reseñas, ciudad, calidad real del portafolio).</t>
  </si>
  <si>
    <t>Notas de uso</t>
  </si>
  <si>
    <t>• Usa Pairings_100 para ver el score completo y ajustar pesos.</t>
  </si>
  <si>
    <t>• Usa Top3_por_MiPyme para demos rápidas dentro del MVP.</t>
  </si>
  <si>
    <t>• Si una MiPyme prioriza ciudad o reseñas, el algoritmo debe pedir validación manual adicional.</t>
  </si>
  <si>
    <t>• Si el servicio mínimo cubierto es bajo, la plataforma debería sugerir alcance por fases o un segundo perfil.</t>
  </si>
  <si>
    <t>• Los datos son sintéticos y solo sirven para prototipado / pruebas internas.</t>
  </si>
  <si>
    <t>Creativos sintéticos (20)</t>
  </si>
  <si>
    <t>Respuestas falsas pero coherentes con el diagnóstico creativo actual. Las columnas finales son derivadas y sirven como insumos del algoritmo.</t>
  </si>
  <si>
    <t>ID</t>
  </si>
  <si>
    <t>Alias</t>
  </si>
  <si>
    <t>Experiencia con MiPymes</t>
  </si>
  <si>
    <t>Sectores con experiencia</t>
  </si>
  <si>
    <t>Claridad briefs</t>
  </si>
  <si>
    <t>Fricciones frecuentes</t>
  </si>
  <si>
    <t>% &gt;2 ajustes</t>
  </si>
  <si>
    <t>Criterios para aceptar</t>
  </si>
  <si>
    <t>Rango precio</t>
  </si>
  <si>
    <t>Proyectos simultáneos</t>
  </si>
  <si>
    <t>Modalidad</t>
  </si>
  <si>
    <t>Herramientas</t>
  </si>
  <si>
    <t>Portafolio</t>
  </si>
  <si>
    <t>Servicios que puede cubrir</t>
  </si>
  <si>
    <t>Índice guía</t>
  </si>
  <si>
    <t>Score herramientas</t>
  </si>
  <si>
    <t>Score experiencia</t>
  </si>
  <si>
    <t>Señal portafolio</t>
  </si>
  <si>
    <t>C01</t>
  </si>
  <si>
    <t>Ana Torres</t>
  </si>
  <si>
    <t>A veces claros, a veces no</t>
  </si>
  <si>
    <t>Entre 20% y 50%</t>
  </si>
  <si>
    <t>Que el brief sea claro, Que el presupuesto sea justo, Que el cliente esté abierto a mis propuestas, Que haya un proceso de feedback definido</t>
  </si>
  <si>
    <t>$1.000.000 – $3.000.000</t>
  </si>
  <si>
    <t>3–4</t>
  </si>
  <si>
    <t>Me adapto</t>
  </si>
  <si>
    <t>Instagram, Behance / Dribbble, Página web propia</t>
  </si>
  <si>
    <t>Traerme clientes con briefs claros, Filtrar proyectos que encajen con mi perfil, Darme visibilidad ante MiPymes, Reducir retrabajos y rondas innecesarias</t>
  </si>
  <si>
    <t>C02</t>
  </si>
  <si>
    <t>Julián Mejía</t>
  </si>
  <si>
    <t>La mayoría llegan incompletos o confusos</t>
  </si>
  <si>
    <t>Más del 50%</t>
  </si>
  <si>
    <t>Que el presupuesto sea justo, Que el plazo sea realista, Que el sector me interese, Que el cliente esté abierto a mis propuestas</t>
  </si>
  <si>
    <t>1–2</t>
  </si>
  <si>
    <t>Presencial cuando sea necesario</t>
  </si>
  <si>
    <t>WhatsApp, Google Drive / Wetransfer, Reuniones por Zoom/Meet</t>
  </si>
  <si>
    <t>Instagram, TikTok</t>
  </si>
  <si>
    <t>Traerme clientes con briefs claros, Filtrar proyectos que encajen con mi perfil, Proteger mis condiciones de trabajo, Reducir retrabajos y rondas innecesarias</t>
  </si>
  <si>
    <t>Fotografía de producto o marca, Video / reels / animación</t>
  </si>
  <si>
    <t>C03</t>
  </si>
  <si>
    <t>Laura Ospina</t>
  </si>
  <si>
    <t>Que el brief sea claro, Que el presupuesto sea justo, Que haya un proceso de feedback definido, Que sea un proyecto recurrente o de largo plazo</t>
  </si>
  <si>
    <t>$3.000.000 – $5.000.000</t>
  </si>
  <si>
    <t>100% remoto</t>
  </si>
  <si>
    <t>Correo electrónico, Google Drive / Wetransfer, Trello / Notion / Asana, Reuniones por Zoom/Meet</t>
  </si>
  <si>
    <t>Página web propia, LinkedIn</t>
  </si>
  <si>
    <t>Traerme clientes con briefs claros, Filtrar proyectos que encajen con mi perfil, Ayudarme a cotizar mejor, Darme herramientas para gestionar proyectos</t>
  </si>
  <si>
    <t>Copywriting / textos, Diseño web o landing page, Estrategia de contenido o marketing</t>
  </si>
  <si>
    <t>C04</t>
  </si>
  <si>
    <t>Mateo Rojas</t>
  </si>
  <si>
    <t>Casi nunca recibo un brief formal</t>
  </si>
  <si>
    <t>Casi todos</t>
  </si>
  <si>
    <t>Que el presupuesto sea justo, Que el sector me interese, Que el cliente esté abierto a mis propuestas, Que sea un proyecto recurrente o de largo plazo</t>
  </si>
  <si>
    <t>Menos de $500.000 COP</t>
  </si>
  <si>
    <t>5+</t>
  </si>
  <si>
    <t>WhatsApp, Google Drive / Wetransfer, Correo electrónico, Reuniones por Zoom/Meet</t>
  </si>
  <si>
    <t>Instagram, LinkedIn</t>
  </si>
  <si>
    <t>Traerme clientes con briefs claros, Darme visibilidad ante MiPymes, Ayudarme a cotizar mejor, Reducir retrabajos y rondas innecesarias</t>
  </si>
  <si>
    <t>C05</t>
  </si>
  <si>
    <t>Valentina Ruiz</t>
  </si>
  <si>
    <t>Que el brief sea claro, Que el presupuesto sea justo, Que el sector me interese, Que haya un proceso de feedback definido</t>
  </si>
  <si>
    <t>Híbrido</t>
  </si>
  <si>
    <t>Correo electrónico, Google Drive / Wetransfer, Reuniones por Zoom/Meet</t>
  </si>
  <si>
    <t>Behance / Dribbble, Instagram, Página web propia</t>
  </si>
  <si>
    <t>C06</t>
  </si>
  <si>
    <t>Camilo Herrera</t>
  </si>
  <si>
    <t>Pocas veces</t>
  </si>
  <si>
    <t>Que el presupuesto sea justo, Que el plazo sea realista, Que el sector me interese</t>
  </si>
  <si>
    <t>$500.000 – $1.000.000</t>
  </si>
  <si>
    <t>Instagram</t>
  </si>
  <si>
    <t>Traerme clientes con briefs claros, Darme visibilidad ante MiPymes, Proteger mis condiciones de trabajo</t>
  </si>
  <si>
    <t>C07</t>
  </si>
  <si>
    <t>Sofía Marín</t>
  </si>
  <si>
    <t>Que el brief sea claro, Que el sector me interese, Que el cliente esté abierto a mis propuestas, Que haya un proceso de feedback definido</t>
  </si>
  <si>
    <t>WhatsApp, Correo electrónico, Google Drive / Wetransfer, Reuniones por Zoom/Meet, Slack / Discord</t>
  </si>
  <si>
    <t>LinkedIn, Página web propia</t>
  </si>
  <si>
    <t>Traerme clientes con briefs claros, Filtrar proyectos que encajen con mi perfil, Darme herramientas para gestionar proyectos, Capacitarme para mejorar nis habilidades</t>
  </si>
  <si>
    <t>Contenido para redes sociales, Copywriting / textos, Estrategia de contenido o marketing</t>
  </si>
  <si>
    <t>C08</t>
  </si>
  <si>
    <t>Nicolás Pardo</t>
  </si>
  <si>
    <t>Que el presupuesto sea justo, Que el plazo sea realista, Que el cliente esté abierto a mis propuestas</t>
  </si>
  <si>
    <t>Behance / Dribbble, Instagram, LinkedIn</t>
  </si>
  <si>
    <t>Traerme clientes con briefs claros, Filtrar proyectos que encajen con mi perfil, Darme visibilidad ante MiPymes</t>
  </si>
  <si>
    <t>C09</t>
  </si>
  <si>
    <t>Daniela Vélez</t>
  </si>
  <si>
    <t>Casi siempre llegan claros y completos</t>
  </si>
  <si>
    <t>Menos del 20%</t>
  </si>
  <si>
    <t>Que el brief sea claro, Que el presupuesto sea justo, Que el plazo sea realista, Que haya un proceso de feedback definido</t>
  </si>
  <si>
    <t>$5.000.000 - $10.000.000</t>
  </si>
  <si>
    <t>Página web propia, LinkedIn, Behance / Dribbble</t>
  </si>
  <si>
    <t>Filtrar proyectos que encajen con mi perfil, Ayudarme a cotizar mejor, Proteger mis condiciones de trabajo</t>
  </si>
  <si>
    <t>Branding / identidad de marca, Diseño web o landing page</t>
  </si>
  <si>
    <t>C10</t>
  </si>
  <si>
    <t>Felipe Gómez</t>
  </si>
  <si>
    <t>Que el presupuesto sea justo, Que el sector me interese, Que el plazo sea realista, Que el cliente esté abierto a mis propuestas</t>
  </si>
  <si>
    <t>Instagram, Behance / Dribbble</t>
  </si>
  <si>
    <t>C11</t>
  </si>
  <si>
    <t>Mariana Salcedo</t>
  </si>
  <si>
    <t>Cualquier sector</t>
  </si>
  <si>
    <t>Que el presupuesto sea justo, Que el cliente esté abierto a mis propuestas, Que haya un proceso de feedback definido, Que sea un proyecto recurrente o de largo plazo</t>
  </si>
  <si>
    <t>WhatsApp, Google Drive / Wetransfer, Correo electrónico, Reuniones por Zoom/Meet, Trello / Notion / Asana</t>
  </si>
  <si>
    <t>Traerme clientes con briefs claros, Darme visibilidad ante MiPymes, Ayudarme a cotizar mejor, Capacitarme para mejorar nis habilidades</t>
  </si>
  <si>
    <t>Branding / identidad de marca, Copywriting / textos, Estrategia de contenido o marketing</t>
  </si>
  <si>
    <t>C12</t>
  </si>
  <si>
    <t>Andrés Buitrago</t>
  </si>
  <si>
    <t>Que el brief sea claro, Que el plazo sea realista, Que el presupuesto sea justo, Que el cliente esté abierto a mis propuestas</t>
  </si>
  <si>
    <t>Slack / Discord, Trello / Notion / Asana, Correo electrónico, Reuniones por Zoom/Meet, Google Drive / Wetransfer</t>
  </si>
  <si>
    <t>Behance / Dribbble, Página web propia, LinkedIn</t>
  </si>
  <si>
    <t>Traerme clientes con briefs claros, Filtrar proyectos que encajen con mi perfil, Darme herramientas para gestionar proyectos</t>
  </si>
  <si>
    <t>Contenido para redes sociales, Video / reels / animación</t>
  </si>
  <si>
    <t>C13</t>
  </si>
  <si>
    <t>Paula Restrepo</t>
  </si>
  <si>
    <t>Que el sector me interese, Que el cliente esté abierto a mis propuestas, Que el presupuesto sea justo</t>
  </si>
  <si>
    <t>WhatsApp, Correo electrónico, Google Drive / Wetransfer</t>
  </si>
  <si>
    <t>Darme visibilidad ante MiPymes, Filtrar proyectos que encajen con mi perfil, Reducir retrabajos y rondas innecesarias</t>
  </si>
  <si>
    <t>C14</t>
  </si>
  <si>
    <t>Sergio Cárdenas</t>
  </si>
  <si>
    <t>Que el presupuesto sea justo, Que el cliente esté abierto a mis propuestas, Que sea un proyecto recurrente o de largo plazo, Que el sector me interese</t>
  </si>
  <si>
    <t>LinkedIn, Instagram</t>
  </si>
  <si>
    <t>C15</t>
  </si>
  <si>
    <t>Luisa Fernanda Gil</t>
  </si>
  <si>
    <t>Correo electrónico, Google Drive / Wetransfer, Reuniones por Zoom/Meet, Trello / Notion / Asana</t>
  </si>
  <si>
    <t>Traerme clientes con briefs claros, Filtrar proyectos que encajen con mi perfil, Ayudarme a cotizar mejor</t>
  </si>
  <si>
    <t>C16</t>
  </si>
  <si>
    <t>David Londoño</t>
  </si>
  <si>
    <t>Darme visibilidad ante MiPymes, Traerme clientes con briefs claros, Capacitarme para mejorar nis habilidades</t>
  </si>
  <si>
    <t>C17</t>
  </si>
  <si>
    <t>Manuela Arango</t>
  </si>
  <si>
    <t>Página web propia, Behance / Dribbble, Instagram</t>
  </si>
  <si>
    <t>Filtrar proyectos que encajen con mi perfil, Proteger mis condiciones de trabajo, Ayudarme a cotizar mejor</t>
  </si>
  <si>
    <t>C18</t>
  </si>
  <si>
    <t>Esteban Quintero</t>
  </si>
  <si>
    <t>Que el presupuesto sea justo, Que sea un proyecto recurrente o de largo plazo, Que el cliente esté abierto a mis propuestas</t>
  </si>
  <si>
    <t>WhatsApp, Correo electrónico, Google Drive / Wetransfer, Reuniones por Zoom/Meet</t>
  </si>
  <si>
    <t>Traerme clientes con briefs claros, Darme visibilidad ante MiPymes, Reducir retrabajos y rondas innecesarias</t>
  </si>
  <si>
    <t>C19</t>
  </si>
  <si>
    <t>Catalina Sierra</t>
  </si>
  <si>
    <t>Página web propia, LinkedIn, Instagram</t>
  </si>
  <si>
    <t>Traerme clientes con briefs claros, Filtrar proyectos que encajen con mi perfil, Darme herramientas para gestionar proyectos, Darme visibilidad ante MiPymes</t>
  </si>
  <si>
    <t>C20</t>
  </si>
  <si>
    <t>Tomás Jaramillo</t>
  </si>
  <si>
    <t>Página web propia, Behance / Dribbble, LinkedIn</t>
  </si>
  <si>
    <t>MiPymes sintéticas (5)</t>
  </si>
  <si>
    <t>Casos de prueba que representan distintos niveles de claridad, madurez digital, presupuesto y necesidad de acompañamiento.</t>
  </si>
  <si>
    <t>Empresa</t>
  </si>
  <si>
    <t>Empleados</t>
  </si>
  <si>
    <t>Sector</t>
  </si>
  <si>
    <t>Años operando</t>
  </si>
  <si>
    <t>Presencia digital</t>
  </si>
  <si>
    <t>Objetivo</t>
  </si>
  <si>
    <t>Plazo</t>
  </si>
  <si>
    <t>Presupuesto</t>
  </si>
  <si>
    <t>Experiencia previa</t>
  </si>
  <si>
    <t>Dificultades previas</t>
  </si>
  <si>
    <t>Claridad actual</t>
  </si>
  <si>
    <t>Top 3 al elegir</t>
  </si>
  <si>
    <t>Materiales listos</t>
  </si>
  <si>
    <t>Índice guía requerido</t>
  </si>
  <si>
    <t>Cantidad de frentes</t>
  </si>
  <si>
    <t>M01</t>
  </si>
  <si>
    <t>Café de Barrio</t>
  </si>
  <si>
    <t>Gastronomía / alimentos</t>
  </si>
  <si>
    <t>Solo redes sociales (pero las manejo)</t>
  </si>
  <si>
    <t>Contenido para redes sociales, Fotografía de producto o marca, Estrategia de contenido o marketing</t>
  </si>
  <si>
    <t>Aumentar ventas o conversiones</t>
  </si>
  <si>
    <t>Una o dos veces</t>
  </si>
  <si>
    <t>Explicar bien lo que necesitaba, El resultado no fue lo que esperaba, Dar feedback claro</t>
  </si>
  <si>
    <t>Tengo una idea general pero me falta aterrizar</t>
  </si>
  <si>
    <t>M02</t>
  </si>
  <si>
    <t>Dermalab Natural</t>
  </si>
  <si>
    <t>6–20</t>
  </si>
  <si>
    <t>Salud / bienestar</t>
  </si>
  <si>
    <t>Tengo redes activas y página web</t>
  </si>
  <si>
    <t>Branding / identidad de marca, Packaging / diseño de empaques, Copywriting / textos</t>
  </si>
  <si>
    <t>Mejorar, rediseñar o refrescar mi marca</t>
  </si>
  <si>
    <t>Sí, varias veces (freelancers o agencias)</t>
  </si>
  <si>
    <t>Muchos retrabajos y rondas de ajustes, Dar feedback claro, Comparar opciones entre creativos</t>
  </si>
  <si>
    <t>Muy claro, sé exactamente qué pedir</t>
  </si>
  <si>
    <t>M03</t>
  </si>
  <si>
    <t>EduPlay Lab</t>
  </si>
  <si>
    <t>Educación</t>
  </si>
  <si>
    <t>Muy básica o desactualizada</t>
  </si>
  <si>
    <t>Diseño web o landing page, Copywriting / textos, Estrategia de contenido o marketing, No tengo claro aún</t>
  </si>
  <si>
    <t>Lanzar un producto o servicio nuevo</t>
  </si>
  <si>
    <t>Nunca</t>
  </si>
  <si>
    <t>No aplica (nunca he contratado)</t>
  </si>
  <si>
    <t>Sé que necesito algo pero no sé qué exactamente</t>
  </si>
  <si>
    <t>Textos o información del negocio</t>
  </si>
  <si>
    <t>M04</t>
  </si>
  <si>
    <t>OptiSoft Analytics</t>
  </si>
  <si>
    <t>21–50</t>
  </si>
  <si>
    <t>Tecnología / software</t>
  </si>
  <si>
    <t>Video / reels / animación, Diseño web o landing page, Estrategia de contenido o marketing</t>
  </si>
  <si>
    <t>Problemas con tiempos de entrega, Comparar opciones entre creativos, El resultado no fue lo que esperaba</t>
  </si>
  <si>
    <t>M05</t>
  </si>
  <si>
    <t>Ruta Nativa Hotel</t>
  </si>
  <si>
    <t>Turismo / hotelería</t>
  </si>
  <si>
    <t>Tengo redes pero casi no publico</t>
  </si>
  <si>
    <t>Branding / identidad de marca, Contenido para redes sociales, Fotografía de producto o marca</t>
  </si>
  <si>
    <t>Profesionalizar mi imagen</t>
  </si>
  <si>
    <t>Solo con conocidos o referidos</t>
  </si>
  <si>
    <t>Encontrar al creativo adecuado, Explicar bien lo que necesitaba, Comparar opciones entre creativos</t>
  </si>
  <si>
    <t>Estoy explorando opciones</t>
  </si>
  <si>
    <t>Lógica de matching defendible</t>
  </si>
  <si>
    <t>La matriz separa criterios medibles hoy vs. señales importantes que aún no están bien capturadas en el diagnóstico.</t>
  </si>
  <si>
    <t>Criterio</t>
  </si>
  <si>
    <t>Por qué importa</t>
  </si>
  <si>
    <t>Peso base</t>
  </si>
  <si>
    <t>Cómo usarlo</t>
  </si>
  <si>
    <t>Señal submedida hoy</t>
  </si>
  <si>
    <t>Por qué NO debería pesar aún</t>
  </si>
  <si>
    <t>Qué hacer</t>
  </si>
  <si>
    <t>Estado</t>
  </si>
  <si>
    <t>Cobertura de servicio</t>
  </si>
  <si>
    <t>Mide si el creativo cubre los frentes que la MiPyme pidió. Debe pesar más que cualquier otro criterio.</t>
  </si>
  <si>
    <t>Promedio del encaje por servicio solicitado; no debe quedar por debajo de la cobertura mínima esperada.</t>
  </si>
  <si>
    <t>Ciudad del creativo</t>
  </si>
  <si>
    <t>La MiPyme puede priorizar 'que esté en mi ciudad', pero el diagnóstico creativo actual no recoge ciudad.</t>
  </si>
  <si>
    <t>Usarlo como filtro manual o agregar un campo de ciudad.</t>
  </si>
  <si>
    <t>Manual / futura iteración</t>
  </si>
  <si>
    <t>Encaje de presupuesto</t>
  </si>
  <si>
    <t>Evita matches inviables por precio y protege la confianza desde el inicio.</t>
  </si>
  <si>
    <t>Comparar banda de presupuesto vs. rango habitual del creativo.</t>
  </si>
  <si>
    <t>Reseñas / referencias verificadas</t>
  </si>
  <si>
    <t>Hoy la MiPyme puede valorar reseñas, pero el input creativo no las captura.</t>
  </si>
  <si>
    <t>No ponderarlo todavía; dejarlo para fase 2.</t>
  </si>
  <si>
    <t>Acompañamiento / proceso</t>
  </si>
  <si>
    <t>Captura si la MiPyme necesita guía y si el creativo tiene perfil para aterrizar briefs.</t>
  </si>
  <si>
    <t>Cruzar qué tanta guía necesita la MiPyme con la capacidad de acompañamiento del creativo.</t>
  </si>
  <si>
    <t>Calidad real del portafolio</t>
  </si>
  <si>
    <t>El diagnóstico solo dice dónde publica el portafolio, no qué tan fuerte es.</t>
  </si>
  <si>
    <t>Usar apenas una señal débil de visibilidad, no de calidad.</t>
  </si>
  <si>
    <t>Encaje con urgencia/capacidad</t>
  </si>
  <si>
    <t>Reduce promesas imposibles y fricciones por tiempos de entrega.</t>
  </si>
  <si>
    <t>Cruzar el plazo con la capacidad operativa declarada.</t>
  </si>
  <si>
    <t>Disponibilidad exacta por semana</t>
  </si>
  <si>
    <t>El diagnóstico pregunta cuántos proyectos maneja, pero no su calendario exacto.</t>
  </si>
  <si>
    <t>Mantenerlo como proxy y validar manualmente.</t>
  </si>
  <si>
    <t>Familiaridad sectorial</t>
  </si>
  <si>
    <t>Ayuda a reducir curva de aprendizaje cuando la MiPyme valora contexto de negocio.</t>
  </si>
  <si>
    <t>Tomarlo como acelerador, no como sustituto de la cobertura del servicio.</t>
  </si>
  <si>
    <t>Experiencia vs complejidad</t>
  </si>
  <si>
    <t>Evita asignar perfiles junior a encargos demasiado complejos o caros.</t>
  </si>
  <si>
    <t>Más útil cuando el proyecto es caro, tiene varios frentes o implica rediseño/lanzamiento.</t>
  </si>
  <si>
    <t>Modalidad / adaptabilidad</t>
  </si>
  <si>
    <t>Importa más cuando hay foto, presencialidad o preferencia local.</t>
  </si>
  <si>
    <t>Sube de importancia si hay foto, presencialidad o prioridad local.</t>
  </si>
  <si>
    <t>Comunicación / herramientas</t>
  </si>
  <si>
    <t>Aumenta operatividad; especialmente útil para MiPymes poco maduras digitalmente.</t>
  </si>
  <si>
    <t>Sirve para reducir fricción operativa y de feedback.</t>
  </si>
  <si>
    <t>Reglas para marcar un candidato casi perfecto</t>
  </si>
  <si>
    <t>1) Cobertura media de servicio &gt;= 0.65.</t>
  </si>
  <si>
    <t>2) Cobertura mínima por frente &gt;= 0.40 (si no, sugerir segundo perfil o alcance por fases).</t>
  </si>
  <si>
    <t>3) El presupuesto no debe desalinearse más de una banda.</t>
  </si>
  <si>
    <t>4) Si la MiPyme necesita mucha guía, el creativo debe tener alto índice de acompañamiento.</t>
  </si>
  <si>
    <t>5) Si la MiPyme prioriza ciudad o reseñas, el resultado debe quedar en revisión manual.</t>
  </si>
  <si>
    <t>Matriz completa de emparejamientos</t>
  </si>
  <si>
    <t>Cada fila cruza 1 MiPyme con 1 creativo. Los raw fits van de 0 a 1; los puntos ponderados se calculan por fórmula para que puedas ajustar pesos después.</t>
  </si>
  <si>
    <t>MiPyme_ID</t>
  </si>
  <si>
    <t>Creativo_ID</t>
  </si>
  <si>
    <t>Creativo</t>
  </si>
  <si>
    <t>Service_fit_raw</t>
  </si>
  <si>
    <t>Service_min_raw</t>
  </si>
  <si>
    <t>Budget_fit_raw</t>
  </si>
  <si>
    <t>Guidance_fit_raw</t>
  </si>
  <si>
    <t>Urgency_fit_raw</t>
  </si>
  <si>
    <t>Sector_fit_raw</t>
  </si>
  <si>
    <t>Experience_fit_raw</t>
  </si>
  <si>
    <t>Modality_fit_raw</t>
  </si>
  <si>
    <t>Comms_fit_raw</t>
  </si>
  <si>
    <t>Priority_bonus_pts</t>
  </si>
  <si>
    <t>Servicio_pts</t>
  </si>
  <si>
    <t>Presupuesto_pts</t>
  </si>
  <si>
    <t>Guía_pts</t>
  </si>
  <si>
    <t>Urgencia_pts</t>
  </si>
  <si>
    <t>Sector_pts</t>
  </si>
  <si>
    <t>Experiencia_pts</t>
  </si>
  <si>
    <t>Modalidad_pts</t>
  </si>
  <si>
    <t>Comms_pts</t>
  </si>
  <si>
    <t>Total_score</t>
  </si>
  <si>
    <t>Rank_por_MiPyme</t>
  </si>
  <si>
    <t>Razón 1</t>
  </si>
  <si>
    <t>Razón 2</t>
  </si>
  <si>
    <t>Razón 3</t>
  </si>
  <si>
    <t>Cautela</t>
  </si>
  <si>
    <t>Opción parcial / revisar alcance</t>
  </si>
  <si>
    <t>Ya ha trabajado en Gastronomía / alimentos.</t>
  </si>
  <si>
    <t>El presupuesto encaja con su rango habitual.</t>
  </si>
  <si>
    <t>Puede acompañar a una MiPyme que aún está aterrizando el encargo.</t>
  </si>
  <si>
    <t>No cubre de forma sólida uno de los frentes solicitados; podría requerir segundo perfil o alcance por fases.</t>
  </si>
  <si>
    <t>Tiene cobertura razonable para el alcance actual.</t>
  </si>
  <si>
    <t>Su experiencia calza con la complejidad del proyecto.</t>
  </si>
  <si>
    <t>Tiene mejor probabilidad de responder al plazo.</t>
  </si>
  <si>
    <t>Candidato casi perfecto</t>
  </si>
  <si>
    <t>Cubre bien 2/3 frentes del proyecto.</t>
  </si>
  <si>
    <t>Portafolio medido solo como señal pública, no como calidad real.</t>
  </si>
  <si>
    <t>No cubre de forma sólida uno de los frentes solicitados; podría requerir segundo perfil o alcance por fases. | Portafolio medido solo como señal pública, no como calidad real.</t>
  </si>
  <si>
    <t>Cumple de forma equilibrada entre servicio, proceso y presupuesto.</t>
  </si>
  <si>
    <t>Candidato fuerte con revisión manual</t>
  </si>
  <si>
    <t>Ya ha trabajado en Salud / bienestar.</t>
  </si>
  <si>
    <t>No cubre de forma sólida uno de los frentes solicitados; podría requerir segundo perfil o alcance por fases. | Presupuesto aún indefinido; validar alcance antes de cerrar match.</t>
  </si>
  <si>
    <t>Cubre bien 3/3 frentes del proyecto.</t>
  </si>
  <si>
    <t>Ya ha trabajado en Educación.</t>
  </si>
  <si>
    <t>Presupuesto aún indefinido; validar alcance antes de cerrar match.</t>
  </si>
  <si>
    <t>Ya ha trabajado en Tecnología.</t>
  </si>
  <si>
    <t>Ya ha trabajado en Turismo / hotelería.</t>
  </si>
  <si>
    <t>Presupuesto aún indefinido; validar alcance antes de cerrar match. | La ciudad del creativo no se captura; requiere filtro manual.</t>
  </si>
  <si>
    <t>Top 3 sugerido por cada MiPyme</t>
  </si>
  <si>
    <t>Lista corta para demo del MVP. Úsala como salida visible del botón 'Ver creativos sugeridos'.</t>
  </si>
  <si>
    <t>Rank</t>
  </si>
  <si>
    <t>Score</t>
  </si>
  <si>
    <t>1–5</t>
  </si>
  <si>
    <t>1–3</t>
  </si>
  <si>
    <t>3–5</t>
  </si>
  <si>
    <t>Menos de 1</t>
  </si>
  <si>
    <t>Más de 5</t>
  </si>
  <si>
    <t>1–2,meses</t>
  </si>
  <si>
    <t>2–3,semanas</t>
  </si>
  <si>
    <t>sin prisa</t>
  </si>
  <si>
    <t>2-3,semanas</t>
  </si>
  <si>
    <t>1-2,meses</t>
  </si>
  <si>
    <t>no se</t>
  </si>
  <si>
    <t>Que entienda mi negocio y mi sector,Que me guíe en el proceso,Rapidez de entrega</t>
  </si>
  <si>
    <t>Calidad del portafolio,Experiencia comprobable,Que entienda mi negocio y mi sector</t>
  </si>
  <si>
    <t>Que me guíe en el proceso,Precio,Que entienda mi negocio y mi sector</t>
  </si>
  <si>
    <t>Rapidez de entrega,Experiencia comprobable,Calidad del portafolio</t>
  </si>
  <si>
    <t>Que entienda mi negocio y mi sector,Que me guíe en el proceso,Que esté en mi ciudad</t>
  </si>
  <si>
    <t>Fotos de mis productos/servicios,Textos o información del negocio</t>
  </si>
  <si>
    <t>Logo y guía de marca,Textos o información del negocio,Referencias visuales de lo que me gusta,Presupuesto definido</t>
  </si>
  <si>
    <t>Logo y guía de marca, Textos o información del negocio,Referencias visuales de lo que me gusta,Presupuesto definido</t>
  </si>
  <si>
    <t>Apoyo creativo</t>
  </si>
  <si>
    <t>Diseño gráfico,Branding / identidad de marca,Copywriting / redacción</t>
  </si>
  <si>
    <t>Video,Motion graphics,Fotografía</t>
  </si>
  <si>
    <t>Diseño web / UI,Estrategia de marketing / contenido,Copywriting / redacción</t>
  </si>
  <si>
    <t>Contenido para redes (Community Management),Diseño gráfico,Estrategia de marketing / contenido</t>
  </si>
  <si>
    <t>Branding / identidad de marca,Packaging,Ilustración</t>
  </si>
  <si>
    <t>Fotografía,Video</t>
  </si>
  <si>
    <t>Copywriting / redacción,Estrategia de marketing / contenido,Contenido para redes (Community Management)</t>
  </si>
  <si>
    <t>Diseño gráfico,Motion graphics,Video</t>
  </si>
  <si>
    <t>Diseño web / UI,Branding / identidad de marca</t>
  </si>
  <si>
    <t>Packaging,Diseño gráfico,Fotografía</t>
  </si>
  <si>
    <t>Branding / identidad de marca,Copywriting / redacción,Estrategia de marketing / contenido</t>
  </si>
  <si>
    <t>Video,Motion graphics,Contenido para redes (Community Management)</t>
  </si>
  <si>
    <t>Ilustración,Diseño gráfico,Branding / identidad de marca</t>
  </si>
  <si>
    <t>Contenido para redes (Community Management),Estrategia de marketing / contenido,Copywriting / redacción</t>
  </si>
  <si>
    <t>Diseño web / UI,Copywriting / redacción,Estrategia de marketing / contenido</t>
  </si>
  <si>
    <t>Fotografía,Video,Motion graphics</t>
  </si>
  <si>
    <t>Branding / identidad de marca,Packaging,Diseño gráfico</t>
  </si>
  <si>
    <t>Diseño gráfico,Contenido para redes (Community Management),Copywriting / redacción</t>
  </si>
  <si>
    <t>Estrategia de marketing / contenido,Contenido para redes (Community Management),Copywriting / redacción</t>
  </si>
  <si>
    <t>Diseño web / UI,Branding / identidad de marca,Diseño gráfico</t>
  </si>
  <si>
    <t>Sí, principal</t>
  </si>
  <si>
    <t>Sí, entre otros</t>
  </si>
  <si>
    <t>Sí,principal</t>
  </si>
  <si>
    <t>Gastronomía / alimentos,Moda / belleza, Comercio / retail</t>
  </si>
  <si>
    <t>Gastronomía / alimentos, Moda / belleza,Turismo / hotelería</t>
  </si>
  <si>
    <t>Tecnología,Educación,Servicios profesionales</t>
  </si>
  <si>
    <t>Comercio / retail,Gastronomía / alimentos,Moda / belleza</t>
  </si>
  <si>
    <t>Moda / belleza,Gastronomía / alimentos,Comercio / retail</t>
  </si>
  <si>
    <t>Gastronomía / alimentos,Turismo / hotelería,Otro</t>
  </si>
  <si>
    <t>Salud / bienestar,Educación,Servicios profesionales</t>
  </si>
  <si>
    <t>Tecnología, Comercio / retail,Cualquier sector</t>
  </si>
  <si>
    <t>Gastronomía / alimentos,Comercio / retail,Moda / belleza</t>
  </si>
  <si>
    <t>Moda / belleza,Gastronomía / alimentos,Otro</t>
  </si>
  <si>
    <t>Turismo / hotelería,Gastronomía / alimentos,Comercio / retail</t>
  </si>
  <si>
    <t>Moda / belleza,Comercio / retail,Gastronomía / alimentos</t>
  </si>
  <si>
    <t>Salud / bienestar,Educación,Servicios profesionales,Turismo / hotelería</t>
  </si>
  <si>
    <t>Tecnología,Comercio / retail,Servicios profesionales,Cualquier sector</t>
  </si>
  <si>
    <t>Tiempos de entrega irreales,Cambios de alcance sin ajuste de precio,Falta de materiales del cliente</t>
  </si>
  <si>
    <t>Feedback confuso o contradictorio, Cambios de alcance sin ajuste de precio,Falta de materiales del cliente</t>
  </si>
  <si>
    <t>Brief incompleto o ambiguo,Feedback confuso o contradictorio,Expectativas no alineadas con el presupuesto</t>
  </si>
  <si>
    <t>Brief incompleto o ambiguo,Feedback confuso o contradictorio,Demora en pagos</t>
  </si>
  <si>
    <t>Demasiadas rondas de ajustes,Expectativas no alineadas con el presupuesto,Falta de materiales del cliente</t>
  </si>
  <si>
    <t>Tiempos de entrega irreales,Falta de materiales del cliente,Demora en pagos</t>
  </si>
  <si>
    <t>Brief incompleto o ambiguo,Feedback confuso o contradictorio,Muchos aprobadores</t>
  </si>
  <si>
    <t>Feedback confuso o contradictorio,Tiempos de entrega irreales,Cambios de alcance sin ajuste de precio</t>
  </si>
  <si>
    <t>Expectativas no alineadas con el presupuesto,Cambios de alcance sin ajuste de precio,Muchos aprobadores</t>
  </si>
  <si>
    <t>Falta de materiales del cliente (fotos, logos, textos),Demasiadas rondas de ajustes,Demora en pagos</t>
  </si>
  <si>
    <t>Brief incompleto o ambiguo,Feedback confuso o contradictorio,Cambios de alcance sin ajuste de precio</t>
  </si>
  <si>
    <t>Tiempos de entrega irreales,Feedback confuso o contradictorio,Muchos aprobadores</t>
  </si>
  <si>
    <t>Demasiadas rondas de ajustes,Brief incompleto o ambiguo,Falta de materiales del cliente</t>
  </si>
  <si>
    <t>Brief incompleto o ambiguo,Demora en pagos,Falta de materiales del cliente</t>
  </si>
  <si>
    <t>Brief incompleto o ambiguo,Expectativas no alineadas con el presupuesto,Muchos aprobadores</t>
  </si>
  <si>
    <t>Tiempos de entrega irreales,Brief incompleto o ambiguo,Demora en pagos</t>
  </si>
  <si>
    <t>Expectativas no alineadas con el presupuesto,Muchos aprobadores,Cambios de alcance sin ajuste de precio</t>
  </si>
  <si>
    <t>Brief incompleto o ambiguo,Feedback confuso o contradictorio,Falta de materiales del cliente</t>
  </si>
  <si>
    <t>Cambios de alcance sin ajuste de precio,Expectativas no alineadas con el presupuesto,Muchos aprobadores</t>
  </si>
  <si>
    <t>WhatsApp,Google Drive / Wetransfer,Correo electrónico,Trello / Notion / Asana,Reuniones por Zoom/Meet</t>
  </si>
  <si>
    <t>WhatsApp,Google Drive / Wetransfer,Reuniones por Zoom/Meet</t>
  </si>
  <si>
    <t>Correo electrónico,Google Drive / Wetransfer,Trello / Notion / Asana,Reuniones por Zoom/Meet</t>
  </si>
  <si>
    <t>Años exp</t>
  </si>
  <si>
    <t>Area principal</t>
  </si>
  <si>
    <t>Que espera de Sarasvati</t>
  </si>
  <si>
    <t>Branding / identidad de marca, Copywriting / textos, Diseño gráfico</t>
  </si>
  <si>
    <t>Contenido para redes sociales, Diseño gráfico, Estrategia de contenido o marketing</t>
  </si>
  <si>
    <t>Branding / identidad de marca, Diseño gráfico, Packaging / diseño de empaques</t>
  </si>
  <si>
    <t>Diseño gráfico, Video / reels / animación</t>
  </si>
  <si>
    <t>Diseño gráfico, Fotografía de producto o marca, Packaging / diseño de empaques</t>
  </si>
  <si>
    <t>Branding / identidad de marca, Diseño gráfico</t>
  </si>
  <si>
    <t>Contenido para redes sociales, Copywriting / textos, Diseño gráfico</t>
  </si>
  <si>
    <t>Branding / identidad de marca, Diseño gráfico, Diseño web o landing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</si>
</sst>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b/>
      <sz val="16"/>
      <color rgb="FFFFFFFF"/>
      <name val="Carlito"/>
    </font>
    <font>
      <sz val="10"/>
      <color rgb="FF1F2937"/>
      <name val="Carlito"/>
    </font>
    <font>
      <b/>
      <sz val="10"/>
      <color rgb="FFFFFFFF"/>
      <name val="Carlito"/>
    </font>
    <font>
      <b/>
      <sz val="11"/>
      <color rgb="FF1F2937"/>
      <name val="Carlito"/>
    </font>
    <font>
      <b/>
      <sz val="10"/>
      <color rgb="FF1F2937"/>
      <name val="Carlito"/>
    </font>
    <font>
      <u/>
      <sz val="11"/>
      <name val="Carlito"/>
    </font>
    <font>
      <b/>
      <sz val="10"/>
      <color theme="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2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5" fillId="0" borderId="0" xfId="0" applyFont="1"/>
    <xf numFmtId="0" fontId="1" fillId="0" borderId="0" xfId="0" applyFont="1"/>
    <xf numFmtId="0" fontId="2" fillId="0" borderId="0" xfId="0" applyFont="1" applyAlignment="1">
      <alignment wrapText="1"/>
    </xf>
    <xf numFmtId="0" fontId="4" fillId="0" borderId="0" xfId="0" applyFont="1"/>
    <xf numFmtId="0" fontId="4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workbookViewId="0">
      <selection sqref="A1:H1"/>
    </sheetView>
  </sheetViews>
  <sheetFormatPr baseColWidth="10" defaultColWidth="9" defaultRowHeight="14.25"/>
  <cols>
    <col min="1" max="1" width="20" customWidth="1"/>
    <col min="2" max="2" width="14" customWidth="1"/>
    <col min="4" max="8" width="18" customWidth="1"/>
  </cols>
  <sheetData>
    <row r="1" spans="1:8" ht="26.1" customHeight="1">
      <c r="A1" s="7" t="s">
        <v>0</v>
      </c>
      <c r="B1" s="7"/>
      <c r="C1" s="7"/>
      <c r="D1" s="7"/>
      <c r="E1" s="7"/>
      <c r="F1" s="7"/>
      <c r="G1" s="7"/>
      <c r="H1" s="7"/>
    </row>
    <row r="2" spans="1:8" ht="33.950000000000003" customHeight="1">
      <c r="A2" s="8" t="s">
        <v>1</v>
      </c>
      <c r="B2" s="8"/>
      <c r="C2" s="8"/>
      <c r="D2" s="8"/>
      <c r="E2" s="8"/>
      <c r="F2" s="8"/>
      <c r="G2" s="8"/>
      <c r="H2" s="8"/>
    </row>
    <row r="4" spans="1:8" ht="24" customHeight="1">
      <c r="A4" s="1" t="s">
        <v>2</v>
      </c>
      <c r="B4" s="1" t="s">
        <v>3</v>
      </c>
      <c r="D4" s="9" t="s">
        <v>4</v>
      </c>
      <c r="E4" s="9"/>
      <c r="F4" s="9"/>
      <c r="G4" s="9"/>
      <c r="H4" s="9"/>
    </row>
    <row r="5" spans="1:8" ht="27.95" customHeight="1">
      <c r="A5" t="s">
        <v>5</v>
      </c>
      <c r="B5">
        <v>20</v>
      </c>
      <c r="D5" s="5" t="s">
        <v>6</v>
      </c>
      <c r="E5" s="5"/>
      <c r="F5" s="5"/>
      <c r="G5" s="5"/>
      <c r="H5" s="5"/>
    </row>
    <row r="6" spans="1:8" ht="27.95" customHeight="1">
      <c r="A6" t="s">
        <v>7</v>
      </c>
      <c r="B6">
        <v>5</v>
      </c>
      <c r="D6" s="5" t="s">
        <v>8</v>
      </c>
      <c r="E6" s="5"/>
      <c r="F6" s="5"/>
      <c r="G6" s="5"/>
      <c r="H6" s="5"/>
    </row>
    <row r="7" spans="1:8" ht="27.95" customHeight="1">
      <c r="A7" t="s">
        <v>9</v>
      </c>
      <c r="B7">
        <v>100</v>
      </c>
      <c r="D7" s="5" t="s">
        <v>10</v>
      </c>
      <c r="E7" s="5"/>
      <c r="F7" s="5"/>
      <c r="G7" s="5"/>
      <c r="H7" s="5"/>
    </row>
    <row r="8" spans="1:8" ht="27.95" customHeight="1">
      <c r="A8" t="s">
        <v>11</v>
      </c>
      <c r="B8">
        <v>8</v>
      </c>
      <c r="D8" s="5" t="s">
        <v>12</v>
      </c>
      <c r="E8" s="5"/>
      <c r="F8" s="5"/>
      <c r="G8" s="5"/>
      <c r="H8" s="5"/>
    </row>
    <row r="9" spans="1:8" ht="27.95" customHeight="1">
      <c r="D9" s="5" t="s">
        <v>13</v>
      </c>
      <c r="E9" s="5"/>
      <c r="F9" s="5"/>
      <c r="G9" s="5"/>
      <c r="H9" s="5"/>
    </row>
    <row r="10" spans="1:8" ht="27.95" customHeight="1">
      <c r="D10" s="5" t="s">
        <v>14</v>
      </c>
      <c r="E10" s="5"/>
      <c r="F10" s="5"/>
      <c r="G10" s="5"/>
      <c r="H10" s="5"/>
    </row>
    <row r="11" spans="1:8">
      <c r="A11" s="6" t="s">
        <v>15</v>
      </c>
      <c r="B11" s="6"/>
      <c r="C11" s="6"/>
      <c r="D11" s="6"/>
      <c r="E11" s="6"/>
      <c r="F11" s="6"/>
      <c r="G11" s="6"/>
      <c r="H11" s="6"/>
    </row>
    <row r="12" spans="1:8" ht="24" customHeight="1">
      <c r="A12" s="5" t="s">
        <v>16</v>
      </c>
      <c r="B12" s="5"/>
      <c r="C12" s="5"/>
      <c r="D12" s="5"/>
      <c r="E12" s="5"/>
      <c r="F12" s="5"/>
      <c r="G12" s="5"/>
      <c r="H12" s="5"/>
    </row>
    <row r="13" spans="1:8" ht="24" customHeight="1">
      <c r="A13" s="5" t="s">
        <v>17</v>
      </c>
      <c r="B13" s="5"/>
      <c r="C13" s="5"/>
      <c r="D13" s="5"/>
      <c r="E13" s="5"/>
      <c r="F13" s="5"/>
      <c r="G13" s="5"/>
      <c r="H13" s="5"/>
    </row>
    <row r="14" spans="1:8" ht="24" customHeight="1">
      <c r="A14" s="5" t="s">
        <v>18</v>
      </c>
      <c r="B14" s="5"/>
      <c r="C14" s="5"/>
      <c r="D14" s="5"/>
      <c r="E14" s="5"/>
      <c r="F14" s="5"/>
      <c r="G14" s="5"/>
      <c r="H14" s="5"/>
    </row>
    <row r="15" spans="1:8" ht="24" customHeight="1">
      <c r="A15" s="5" t="s">
        <v>19</v>
      </c>
      <c r="B15" s="5"/>
      <c r="C15" s="5"/>
      <c r="D15" s="5"/>
      <c r="E15" s="5"/>
      <c r="F15" s="5"/>
      <c r="G15" s="5"/>
      <c r="H15" s="5"/>
    </row>
    <row r="16" spans="1:8" ht="24" customHeight="1">
      <c r="A16" s="5" t="s">
        <v>20</v>
      </c>
      <c r="B16" s="5"/>
      <c r="C16" s="5"/>
      <c r="D16" s="5"/>
      <c r="E16" s="5"/>
      <c r="F16" s="5"/>
      <c r="G16" s="5"/>
      <c r="H16" s="5"/>
    </row>
  </sheetData>
  <mergeCells count="15">
    <mergeCell ref="A1:H1"/>
    <mergeCell ref="A2:H2"/>
    <mergeCell ref="D4:H4"/>
    <mergeCell ref="D5:H5"/>
    <mergeCell ref="D6:H6"/>
    <mergeCell ref="D7:H7"/>
    <mergeCell ref="D8:H8"/>
    <mergeCell ref="D9:H9"/>
    <mergeCell ref="D10:H10"/>
    <mergeCell ref="A11:H11"/>
    <mergeCell ref="A12:H12"/>
    <mergeCell ref="A13:H13"/>
    <mergeCell ref="A14:H14"/>
    <mergeCell ref="A15:H15"/>
    <mergeCell ref="A16:H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4"/>
  <sheetViews>
    <sheetView tabSelected="1" topLeftCell="I1" workbookViewId="0">
      <selection activeCell="J4" sqref="J4"/>
    </sheetView>
  </sheetViews>
  <sheetFormatPr baseColWidth="10" defaultColWidth="9" defaultRowHeight="14.25"/>
  <cols>
    <col min="1" max="1" width="9" customWidth="1"/>
    <col min="2" max="2" width="18" customWidth="1"/>
    <col min="3" max="3" width="28" customWidth="1"/>
    <col min="4" max="5" width="16" customWidth="1"/>
    <col min="6" max="7" width="22" customWidth="1"/>
    <col min="8" max="8" width="28" customWidth="1"/>
    <col min="9" max="9" width="14" customWidth="1"/>
    <col min="10" max="10" width="30" customWidth="1"/>
    <col min="11" max="11" width="18" customWidth="1"/>
    <col min="12" max="12" width="16" customWidth="1"/>
    <col min="13" max="13" width="14" customWidth="1"/>
    <col min="14" max="14" width="24" customWidth="1"/>
    <col min="15" max="15" width="22" customWidth="1"/>
    <col min="16" max="16" width="28" customWidth="1"/>
    <col min="17" max="17" width="24" customWidth="1"/>
    <col min="18" max="21" width="12" customWidth="1"/>
  </cols>
  <sheetData>
    <row r="1" spans="1:21" ht="26.1" customHeight="1">
      <c r="A1" s="7" t="s">
        <v>21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pans="1:21" ht="33.950000000000003" customHeight="1">
      <c r="A2" s="8" t="s">
        <v>22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</row>
    <row r="4" spans="1:21" ht="24" customHeight="1">
      <c r="A4" s="12" t="s">
        <v>23</v>
      </c>
      <c r="B4" s="12" t="s">
        <v>24</v>
      </c>
      <c r="C4" s="12" t="s">
        <v>414</v>
      </c>
      <c r="D4" s="12" t="s">
        <v>413</v>
      </c>
      <c r="E4" s="12" t="s">
        <v>25</v>
      </c>
      <c r="F4" s="12" t="s">
        <v>26</v>
      </c>
      <c r="G4" s="12" t="s">
        <v>27</v>
      </c>
      <c r="H4" s="12" t="s">
        <v>28</v>
      </c>
      <c r="I4" s="12" t="s">
        <v>29</v>
      </c>
      <c r="J4" s="12" t="s">
        <v>30</v>
      </c>
      <c r="K4" s="12" t="s">
        <v>31</v>
      </c>
      <c r="L4" s="12" t="s">
        <v>32</v>
      </c>
      <c r="M4" s="12" t="s">
        <v>33</v>
      </c>
      <c r="N4" s="12" t="s">
        <v>34</v>
      </c>
      <c r="O4" s="12" t="s">
        <v>35</v>
      </c>
      <c r="P4" s="12" t="s">
        <v>415</v>
      </c>
      <c r="Q4" s="12" t="s">
        <v>36</v>
      </c>
      <c r="R4" s="12" t="s">
        <v>37</v>
      </c>
      <c r="S4" s="12" t="s">
        <v>38</v>
      </c>
      <c r="T4" s="12" t="s">
        <v>39</v>
      </c>
      <c r="U4" s="12" t="s">
        <v>40</v>
      </c>
    </row>
    <row r="5" spans="1:21" ht="85.5">
      <c r="A5" s="2" t="s">
        <v>41</v>
      </c>
      <c r="B5" s="2" t="s">
        <v>42</v>
      </c>
      <c r="C5" s="2" t="s">
        <v>354</v>
      </c>
      <c r="D5" s="2" t="s">
        <v>338</v>
      </c>
      <c r="E5" s="2" t="s">
        <v>374</v>
      </c>
      <c r="F5" s="2" t="s">
        <v>377</v>
      </c>
      <c r="G5" s="2" t="s">
        <v>43</v>
      </c>
      <c r="H5" s="2" t="s">
        <v>392</v>
      </c>
      <c r="I5" s="2" t="s">
        <v>44</v>
      </c>
      <c r="J5" s="2" t="s">
        <v>45</v>
      </c>
      <c r="K5" s="2" t="s">
        <v>46</v>
      </c>
      <c r="L5" s="2" t="s">
        <v>47</v>
      </c>
      <c r="M5" s="2" t="s">
        <v>48</v>
      </c>
      <c r="N5" s="2" t="s">
        <v>410</v>
      </c>
      <c r="O5" s="2" t="s">
        <v>49</v>
      </c>
      <c r="P5" s="2" t="s">
        <v>50</v>
      </c>
      <c r="Q5" s="2" t="s">
        <v>416</v>
      </c>
      <c r="R5" s="3">
        <v>0.98</v>
      </c>
      <c r="S5" s="3">
        <v>1</v>
      </c>
      <c r="T5" s="3">
        <v>1</v>
      </c>
      <c r="U5" s="3">
        <v>1</v>
      </c>
    </row>
    <row r="6" spans="1:21" ht="85.5">
      <c r="A6" s="2" t="s">
        <v>51</v>
      </c>
      <c r="B6" s="2" t="s">
        <v>52</v>
      </c>
      <c r="C6" s="2" t="s">
        <v>355</v>
      </c>
      <c r="D6" s="2" t="s">
        <v>336</v>
      </c>
      <c r="E6" s="2" t="s">
        <v>375</v>
      </c>
      <c r="F6" s="2" t="s">
        <v>378</v>
      </c>
      <c r="G6" s="2" t="s">
        <v>53</v>
      </c>
      <c r="H6" s="2" t="s">
        <v>391</v>
      </c>
      <c r="I6" s="2" t="s">
        <v>54</v>
      </c>
      <c r="J6" s="2" t="s">
        <v>55</v>
      </c>
      <c r="K6" s="2" t="s">
        <v>46</v>
      </c>
      <c r="L6" s="2" t="s">
        <v>56</v>
      </c>
      <c r="M6" s="2" t="s">
        <v>57</v>
      </c>
      <c r="N6" s="2" t="s">
        <v>411</v>
      </c>
      <c r="O6" s="2" t="s">
        <v>59</v>
      </c>
      <c r="P6" s="2" t="s">
        <v>60</v>
      </c>
      <c r="Q6" s="2" t="s">
        <v>61</v>
      </c>
      <c r="R6" s="3">
        <v>0.54</v>
      </c>
      <c r="S6" s="3">
        <v>0.95</v>
      </c>
      <c r="T6" s="3">
        <v>0.9</v>
      </c>
      <c r="U6" s="3">
        <v>1</v>
      </c>
    </row>
    <row r="7" spans="1:21" ht="85.5">
      <c r="A7" s="2" t="s">
        <v>62</v>
      </c>
      <c r="B7" s="2" t="s">
        <v>63</v>
      </c>
      <c r="C7" s="2" t="s">
        <v>356</v>
      </c>
      <c r="D7" s="2" t="s">
        <v>338</v>
      </c>
      <c r="E7" s="2" t="s">
        <v>374</v>
      </c>
      <c r="F7" s="2" t="s">
        <v>379</v>
      </c>
      <c r="G7" s="2" t="s">
        <v>43</v>
      </c>
      <c r="H7" s="2" t="s">
        <v>393</v>
      </c>
      <c r="I7" s="2" t="s">
        <v>44</v>
      </c>
      <c r="J7" s="2" t="s">
        <v>64</v>
      </c>
      <c r="K7" s="2" t="s">
        <v>65</v>
      </c>
      <c r="L7" s="2" t="s">
        <v>56</v>
      </c>
      <c r="M7" s="2" t="s">
        <v>66</v>
      </c>
      <c r="N7" s="2" t="s">
        <v>412</v>
      </c>
      <c r="O7" s="2" t="s">
        <v>68</v>
      </c>
      <c r="P7" s="2" t="s">
        <v>69</v>
      </c>
      <c r="Q7" s="2" t="s">
        <v>70</v>
      </c>
      <c r="R7" s="3">
        <v>0.93</v>
      </c>
      <c r="S7" s="3">
        <v>0.95</v>
      </c>
      <c r="T7" s="3">
        <v>1</v>
      </c>
      <c r="U7" s="3">
        <v>1</v>
      </c>
    </row>
    <row r="8" spans="1:21" ht="71.25">
      <c r="A8" s="2" t="s">
        <v>71</v>
      </c>
      <c r="B8" s="2" t="s">
        <v>72</v>
      </c>
      <c r="C8" s="2" t="s">
        <v>357</v>
      </c>
      <c r="D8" s="2" t="s">
        <v>335</v>
      </c>
      <c r="E8" s="2" t="s">
        <v>374</v>
      </c>
      <c r="F8" s="2" t="s">
        <v>380</v>
      </c>
      <c r="G8" s="2" t="s">
        <v>73</v>
      </c>
      <c r="H8" s="2" t="s">
        <v>394</v>
      </c>
      <c r="I8" s="2" t="s">
        <v>74</v>
      </c>
      <c r="J8" s="2" t="s">
        <v>75</v>
      </c>
      <c r="K8" s="2" t="s">
        <v>76</v>
      </c>
      <c r="L8" s="2" t="s">
        <v>77</v>
      </c>
      <c r="M8" s="2" t="s">
        <v>66</v>
      </c>
      <c r="N8" s="2" t="s">
        <v>78</v>
      </c>
      <c r="O8" s="2" t="s">
        <v>79</v>
      </c>
      <c r="P8" s="2" t="s">
        <v>80</v>
      </c>
      <c r="Q8" s="2" t="s">
        <v>417</v>
      </c>
      <c r="R8" s="3">
        <v>0.74</v>
      </c>
      <c r="S8" s="3">
        <v>1</v>
      </c>
      <c r="T8" s="3">
        <v>0.75</v>
      </c>
      <c r="U8" s="3">
        <v>1</v>
      </c>
    </row>
    <row r="9" spans="1:21" ht="85.5">
      <c r="A9" s="2" t="s">
        <v>81</v>
      </c>
      <c r="B9" s="2" t="s">
        <v>82</v>
      </c>
      <c r="C9" s="2" t="s">
        <v>358</v>
      </c>
      <c r="D9" s="2" t="s">
        <v>336</v>
      </c>
      <c r="E9" s="2" t="s">
        <v>375</v>
      </c>
      <c r="F9" s="2" t="s">
        <v>381</v>
      </c>
      <c r="G9" s="2" t="s">
        <v>43</v>
      </c>
      <c r="H9" s="2" t="s">
        <v>395</v>
      </c>
      <c r="I9" s="2" t="s">
        <v>44</v>
      </c>
      <c r="J9" s="2" t="s">
        <v>83</v>
      </c>
      <c r="K9" s="2" t="s">
        <v>65</v>
      </c>
      <c r="L9" s="2" t="s">
        <v>56</v>
      </c>
      <c r="M9" s="2" t="s">
        <v>84</v>
      </c>
      <c r="N9" s="2" t="s">
        <v>85</v>
      </c>
      <c r="O9" s="2" t="s">
        <v>86</v>
      </c>
      <c r="P9" s="2" t="s">
        <v>60</v>
      </c>
      <c r="Q9" s="2" t="s">
        <v>418</v>
      </c>
      <c r="R9" s="3">
        <v>0.7</v>
      </c>
      <c r="S9" s="3">
        <v>0.85</v>
      </c>
      <c r="T9" s="3">
        <v>0.9</v>
      </c>
      <c r="U9" s="3">
        <v>1</v>
      </c>
    </row>
    <row r="10" spans="1:21" ht="57">
      <c r="A10" s="2" t="s">
        <v>87</v>
      </c>
      <c r="B10" s="2" t="s">
        <v>88</v>
      </c>
      <c r="C10" s="2" t="s">
        <v>359</v>
      </c>
      <c r="D10" s="2" t="s">
        <v>335</v>
      </c>
      <c r="E10" s="2" t="s">
        <v>89</v>
      </c>
      <c r="F10" s="2" t="s">
        <v>382</v>
      </c>
      <c r="G10" s="2" t="s">
        <v>53</v>
      </c>
      <c r="H10" s="2" t="s">
        <v>396</v>
      </c>
      <c r="I10" s="2" t="s">
        <v>54</v>
      </c>
      <c r="J10" s="2" t="s">
        <v>90</v>
      </c>
      <c r="K10" s="2" t="s">
        <v>91</v>
      </c>
      <c r="L10" s="2" t="s">
        <v>56</v>
      </c>
      <c r="M10" s="2" t="s">
        <v>57</v>
      </c>
      <c r="N10" s="2" t="s">
        <v>58</v>
      </c>
      <c r="O10" s="2" t="s">
        <v>92</v>
      </c>
      <c r="P10" s="2" t="s">
        <v>93</v>
      </c>
      <c r="Q10" s="2" t="s">
        <v>61</v>
      </c>
      <c r="R10" s="3">
        <v>0.31</v>
      </c>
      <c r="S10" s="3">
        <v>0.95</v>
      </c>
      <c r="T10" s="3">
        <v>0.60000000000000009</v>
      </c>
      <c r="U10" s="3">
        <v>1</v>
      </c>
    </row>
    <row r="11" spans="1:21" ht="85.5">
      <c r="A11" s="2" t="s">
        <v>94</v>
      </c>
      <c r="B11" s="2" t="s">
        <v>95</v>
      </c>
      <c r="C11" s="2" t="s">
        <v>360</v>
      </c>
      <c r="D11" s="2" t="s">
        <v>338</v>
      </c>
      <c r="E11" s="2" t="s">
        <v>375</v>
      </c>
      <c r="F11" s="2" t="s">
        <v>383</v>
      </c>
      <c r="G11" s="2" t="s">
        <v>43</v>
      </c>
      <c r="H11" s="2" t="s">
        <v>397</v>
      </c>
      <c r="I11" s="2" t="s">
        <v>44</v>
      </c>
      <c r="J11" s="2" t="s">
        <v>96</v>
      </c>
      <c r="K11" s="2" t="s">
        <v>46</v>
      </c>
      <c r="L11" s="2" t="s">
        <v>47</v>
      </c>
      <c r="M11" s="2" t="s">
        <v>66</v>
      </c>
      <c r="N11" s="2" t="s">
        <v>97</v>
      </c>
      <c r="O11" s="2" t="s">
        <v>98</v>
      </c>
      <c r="P11" s="2" t="s">
        <v>99</v>
      </c>
      <c r="Q11" s="2" t="s">
        <v>100</v>
      </c>
      <c r="R11" s="3">
        <v>0.86</v>
      </c>
      <c r="S11" s="3">
        <v>1</v>
      </c>
      <c r="T11" s="3">
        <v>1</v>
      </c>
      <c r="U11" s="3">
        <v>1</v>
      </c>
    </row>
    <row r="12" spans="1:21" ht="57">
      <c r="A12" s="2" t="s">
        <v>101</v>
      </c>
      <c r="B12" s="2" t="s">
        <v>102</v>
      </c>
      <c r="C12" s="2" t="s">
        <v>361</v>
      </c>
      <c r="D12" s="2" t="s">
        <v>336</v>
      </c>
      <c r="E12" s="2" t="s">
        <v>375</v>
      </c>
      <c r="F12" s="2" t="s">
        <v>384</v>
      </c>
      <c r="G12" s="2" t="s">
        <v>43</v>
      </c>
      <c r="H12" s="2" t="s">
        <v>398</v>
      </c>
      <c r="I12" s="2" t="s">
        <v>44</v>
      </c>
      <c r="J12" s="2" t="s">
        <v>103</v>
      </c>
      <c r="K12" s="2" t="s">
        <v>46</v>
      </c>
      <c r="L12" s="2" t="s">
        <v>47</v>
      </c>
      <c r="M12" s="2" t="s">
        <v>84</v>
      </c>
      <c r="N12" s="2" t="s">
        <v>78</v>
      </c>
      <c r="O12" s="2" t="s">
        <v>104</v>
      </c>
      <c r="P12" s="2" t="s">
        <v>105</v>
      </c>
      <c r="Q12" s="2" t="s">
        <v>419</v>
      </c>
      <c r="R12" s="3">
        <v>0.54</v>
      </c>
      <c r="S12" s="3">
        <v>1</v>
      </c>
      <c r="T12" s="3">
        <v>0.9</v>
      </c>
      <c r="U12" s="3">
        <v>1</v>
      </c>
    </row>
    <row r="13" spans="1:21" ht="57">
      <c r="A13" s="2" t="s">
        <v>106</v>
      </c>
      <c r="B13" s="2" t="s">
        <v>107</v>
      </c>
      <c r="C13" s="2" t="s">
        <v>362</v>
      </c>
      <c r="D13" s="2" t="s">
        <v>338</v>
      </c>
      <c r="E13" s="2" t="s">
        <v>375</v>
      </c>
      <c r="F13" s="2" t="s">
        <v>379</v>
      </c>
      <c r="G13" s="2" t="s">
        <v>108</v>
      </c>
      <c r="H13" s="2" t="s">
        <v>399</v>
      </c>
      <c r="I13" s="2" t="s">
        <v>109</v>
      </c>
      <c r="J13" s="2" t="s">
        <v>110</v>
      </c>
      <c r="K13" s="2" t="s">
        <v>111</v>
      </c>
      <c r="L13" s="2" t="s">
        <v>56</v>
      </c>
      <c r="M13" s="2" t="s">
        <v>66</v>
      </c>
      <c r="N13" s="2" t="s">
        <v>67</v>
      </c>
      <c r="O13" s="2" t="s">
        <v>112</v>
      </c>
      <c r="P13" s="2" t="s">
        <v>113</v>
      </c>
      <c r="Q13" s="2" t="s">
        <v>114</v>
      </c>
      <c r="R13" s="3">
        <v>0.85</v>
      </c>
      <c r="S13" s="3">
        <v>0.95</v>
      </c>
      <c r="T13" s="3">
        <v>1</v>
      </c>
      <c r="U13" s="3">
        <v>1</v>
      </c>
    </row>
    <row r="14" spans="1:21" ht="85.5">
      <c r="A14" s="2" t="s">
        <v>115</v>
      </c>
      <c r="B14" s="2" t="s">
        <v>116</v>
      </c>
      <c r="C14" s="2" t="s">
        <v>363</v>
      </c>
      <c r="D14" s="2" t="s">
        <v>336</v>
      </c>
      <c r="E14" s="2" t="s">
        <v>376</v>
      </c>
      <c r="F14" s="2" t="s">
        <v>385</v>
      </c>
      <c r="G14" s="2" t="s">
        <v>43</v>
      </c>
      <c r="H14" s="2" t="s">
        <v>400</v>
      </c>
      <c r="I14" s="2" t="s">
        <v>44</v>
      </c>
      <c r="J14" s="2" t="s">
        <v>117</v>
      </c>
      <c r="K14" s="2" t="s">
        <v>46</v>
      </c>
      <c r="L14" s="2" t="s">
        <v>47</v>
      </c>
      <c r="M14" s="2" t="s">
        <v>84</v>
      </c>
      <c r="N14" s="2" t="s">
        <v>78</v>
      </c>
      <c r="O14" s="2" t="s">
        <v>118</v>
      </c>
      <c r="P14" s="2" t="s">
        <v>50</v>
      </c>
      <c r="Q14" s="2" t="s">
        <v>420</v>
      </c>
      <c r="R14" s="3">
        <v>0.62</v>
      </c>
      <c r="S14" s="3">
        <v>1</v>
      </c>
      <c r="T14" s="3">
        <v>0.98</v>
      </c>
      <c r="U14" s="3">
        <v>1</v>
      </c>
    </row>
    <row r="15" spans="1:21" ht="85.5">
      <c r="A15" s="2" t="s">
        <v>119</v>
      </c>
      <c r="B15" s="2" t="s">
        <v>120</v>
      </c>
      <c r="C15" s="2" t="s">
        <v>364</v>
      </c>
      <c r="D15" s="2" t="s">
        <v>335</v>
      </c>
      <c r="E15" s="2" t="s">
        <v>376</v>
      </c>
      <c r="F15" s="2" t="s">
        <v>121</v>
      </c>
      <c r="G15" s="2" t="s">
        <v>53</v>
      </c>
      <c r="H15" s="2" t="s">
        <v>401</v>
      </c>
      <c r="I15" s="2" t="s">
        <v>54</v>
      </c>
      <c r="J15" s="2" t="s">
        <v>122</v>
      </c>
      <c r="K15" s="2" t="s">
        <v>91</v>
      </c>
      <c r="L15" s="2" t="s">
        <v>47</v>
      </c>
      <c r="M15" s="2" t="s">
        <v>48</v>
      </c>
      <c r="N15" s="2" t="s">
        <v>123</v>
      </c>
      <c r="O15" s="2" t="s">
        <v>79</v>
      </c>
      <c r="P15" s="2" t="s">
        <v>124</v>
      </c>
      <c r="Q15" s="2" t="s">
        <v>125</v>
      </c>
      <c r="R15" s="3">
        <v>0.86</v>
      </c>
      <c r="S15" s="3">
        <v>1</v>
      </c>
      <c r="T15" s="3">
        <v>0.75</v>
      </c>
      <c r="U15" s="3">
        <v>1</v>
      </c>
    </row>
    <row r="16" spans="1:21" ht="71.25">
      <c r="A16" s="2" t="s">
        <v>126</v>
      </c>
      <c r="B16" s="2" t="s">
        <v>127</v>
      </c>
      <c r="C16" s="2" t="s">
        <v>365</v>
      </c>
      <c r="D16" s="2" t="s">
        <v>338</v>
      </c>
      <c r="E16" s="2" t="s">
        <v>375</v>
      </c>
      <c r="F16" s="2" t="s">
        <v>379</v>
      </c>
      <c r="G16" s="2" t="s">
        <v>43</v>
      </c>
      <c r="H16" s="2" t="s">
        <v>402</v>
      </c>
      <c r="I16" s="2" t="s">
        <v>44</v>
      </c>
      <c r="J16" s="2" t="s">
        <v>128</v>
      </c>
      <c r="K16" s="2" t="s">
        <v>65</v>
      </c>
      <c r="L16" s="2" t="s">
        <v>56</v>
      </c>
      <c r="M16" s="2" t="s">
        <v>66</v>
      </c>
      <c r="N16" s="2" t="s">
        <v>129</v>
      </c>
      <c r="O16" s="2" t="s">
        <v>130</v>
      </c>
      <c r="P16" s="2" t="s">
        <v>131</v>
      </c>
      <c r="Q16" s="2" t="s">
        <v>132</v>
      </c>
      <c r="R16" s="3">
        <v>0.82</v>
      </c>
      <c r="S16" s="3">
        <v>1</v>
      </c>
      <c r="T16" s="3">
        <v>1</v>
      </c>
      <c r="U16" s="3">
        <v>1</v>
      </c>
    </row>
    <row r="17" spans="1:21" ht="57">
      <c r="A17" s="2" t="s">
        <v>133</v>
      </c>
      <c r="B17" s="2" t="s">
        <v>134</v>
      </c>
      <c r="C17" s="2" t="s">
        <v>366</v>
      </c>
      <c r="D17" s="2" t="s">
        <v>336</v>
      </c>
      <c r="E17" s="2" t="s">
        <v>89</v>
      </c>
      <c r="F17" s="2" t="s">
        <v>386</v>
      </c>
      <c r="G17" s="2" t="s">
        <v>43</v>
      </c>
      <c r="H17" s="2" t="s">
        <v>403</v>
      </c>
      <c r="I17" s="2" t="s">
        <v>54</v>
      </c>
      <c r="J17" s="2" t="s">
        <v>135</v>
      </c>
      <c r="K17" s="2" t="s">
        <v>46</v>
      </c>
      <c r="L17" s="2" t="s">
        <v>56</v>
      </c>
      <c r="M17" s="2" t="s">
        <v>48</v>
      </c>
      <c r="N17" s="2" t="s">
        <v>136</v>
      </c>
      <c r="O17" s="2" t="s">
        <v>118</v>
      </c>
      <c r="P17" s="2" t="s">
        <v>137</v>
      </c>
      <c r="Q17" s="2" t="s">
        <v>421</v>
      </c>
      <c r="R17" s="3">
        <v>0.62</v>
      </c>
      <c r="S17" s="3">
        <v>0.95</v>
      </c>
      <c r="T17" s="3">
        <v>0.83000000000000007</v>
      </c>
      <c r="U17" s="3">
        <v>1</v>
      </c>
    </row>
    <row r="18" spans="1:21" ht="85.5">
      <c r="A18" s="2" t="s">
        <v>138</v>
      </c>
      <c r="B18" s="2" t="s">
        <v>139</v>
      </c>
      <c r="C18" s="2" t="s">
        <v>367</v>
      </c>
      <c r="D18" s="2" t="s">
        <v>338</v>
      </c>
      <c r="E18" s="2" t="s">
        <v>376</v>
      </c>
      <c r="F18" s="2" t="s">
        <v>387</v>
      </c>
      <c r="G18" s="2" t="s">
        <v>73</v>
      </c>
      <c r="H18" s="2" t="s">
        <v>404</v>
      </c>
      <c r="I18" s="2" t="s">
        <v>74</v>
      </c>
      <c r="J18" s="2" t="s">
        <v>140</v>
      </c>
      <c r="K18" s="2" t="s">
        <v>46</v>
      </c>
      <c r="L18" s="2" t="s">
        <v>47</v>
      </c>
      <c r="M18" s="2" t="s">
        <v>48</v>
      </c>
      <c r="N18" s="2" t="s">
        <v>123</v>
      </c>
      <c r="O18" s="2" t="s">
        <v>141</v>
      </c>
      <c r="P18" s="2" t="s">
        <v>50</v>
      </c>
      <c r="Q18" s="2" t="s">
        <v>100</v>
      </c>
      <c r="R18" s="3">
        <v>0.9</v>
      </c>
      <c r="S18" s="3">
        <v>1</v>
      </c>
      <c r="T18" s="3">
        <v>1</v>
      </c>
      <c r="U18" s="3">
        <v>1</v>
      </c>
    </row>
    <row r="19" spans="1:21" ht="71.25">
      <c r="A19" s="2" t="s">
        <v>142</v>
      </c>
      <c r="B19" s="2" t="s">
        <v>143</v>
      </c>
      <c r="C19" s="2" t="s">
        <v>368</v>
      </c>
      <c r="D19" s="2" t="s">
        <v>336</v>
      </c>
      <c r="E19" s="2" t="s">
        <v>376</v>
      </c>
      <c r="F19" s="2" t="s">
        <v>383</v>
      </c>
      <c r="G19" s="2" t="s">
        <v>43</v>
      </c>
      <c r="H19" s="2" t="s">
        <v>405</v>
      </c>
      <c r="I19" s="2" t="s">
        <v>44</v>
      </c>
      <c r="J19" s="2" t="s">
        <v>45</v>
      </c>
      <c r="K19" s="2" t="s">
        <v>46</v>
      </c>
      <c r="L19" s="2" t="s">
        <v>56</v>
      </c>
      <c r="M19" s="2" t="s">
        <v>66</v>
      </c>
      <c r="N19" s="2" t="s">
        <v>144</v>
      </c>
      <c r="O19" s="2" t="s">
        <v>68</v>
      </c>
      <c r="P19" s="2" t="s">
        <v>145</v>
      </c>
      <c r="Q19" s="2" t="s">
        <v>70</v>
      </c>
      <c r="R19" s="3">
        <v>0.97</v>
      </c>
      <c r="S19" s="3">
        <v>0.95</v>
      </c>
      <c r="T19" s="3">
        <v>0.98</v>
      </c>
      <c r="U19" s="3">
        <v>1</v>
      </c>
    </row>
    <row r="20" spans="1:21" ht="57">
      <c r="A20" s="2" t="s">
        <v>146</v>
      </c>
      <c r="B20" s="2" t="s">
        <v>147</v>
      </c>
      <c r="C20" s="2" t="s">
        <v>369</v>
      </c>
      <c r="D20" s="2" t="s">
        <v>337</v>
      </c>
      <c r="E20" s="2" t="s">
        <v>89</v>
      </c>
      <c r="F20" s="2" t="s">
        <v>121</v>
      </c>
      <c r="G20" s="2" t="s">
        <v>73</v>
      </c>
      <c r="H20" s="2" t="s">
        <v>406</v>
      </c>
      <c r="I20" s="2" t="s">
        <v>74</v>
      </c>
      <c r="J20" s="2" t="s">
        <v>90</v>
      </c>
      <c r="K20" s="2" t="s">
        <v>76</v>
      </c>
      <c r="L20" s="2" t="s">
        <v>56</v>
      </c>
      <c r="M20" s="2" t="s">
        <v>57</v>
      </c>
      <c r="N20" s="2" t="s">
        <v>58</v>
      </c>
      <c r="O20" s="2" t="s">
        <v>59</v>
      </c>
      <c r="P20" s="2" t="s">
        <v>148</v>
      </c>
      <c r="Q20" s="2" t="s">
        <v>61</v>
      </c>
      <c r="R20" s="3">
        <v>0.26</v>
      </c>
      <c r="S20" s="3">
        <v>0.95</v>
      </c>
      <c r="T20" s="3">
        <v>0.3</v>
      </c>
      <c r="U20" s="3">
        <v>1</v>
      </c>
    </row>
    <row r="21" spans="1:21" ht="57">
      <c r="A21" s="2" t="s">
        <v>149</v>
      </c>
      <c r="B21" s="2" t="s">
        <v>150</v>
      </c>
      <c r="C21" s="2" t="s">
        <v>370</v>
      </c>
      <c r="D21" s="2" t="s">
        <v>338</v>
      </c>
      <c r="E21" s="2" t="s">
        <v>375</v>
      </c>
      <c r="F21" s="2" t="s">
        <v>388</v>
      </c>
      <c r="G21" s="2" t="s">
        <v>108</v>
      </c>
      <c r="H21" s="2" t="s">
        <v>407</v>
      </c>
      <c r="I21" s="2" t="s">
        <v>109</v>
      </c>
      <c r="J21" s="2" t="s">
        <v>83</v>
      </c>
      <c r="K21" s="2" t="s">
        <v>111</v>
      </c>
      <c r="L21" s="2" t="s">
        <v>56</v>
      </c>
      <c r="M21" s="2" t="s">
        <v>84</v>
      </c>
      <c r="N21" s="2" t="s">
        <v>144</v>
      </c>
      <c r="O21" s="2" t="s">
        <v>151</v>
      </c>
      <c r="P21" s="2" t="s">
        <v>152</v>
      </c>
      <c r="Q21" s="2" t="s">
        <v>418</v>
      </c>
      <c r="R21" s="3">
        <v>0.8</v>
      </c>
      <c r="S21" s="3">
        <v>0.95</v>
      </c>
      <c r="T21" s="3">
        <v>1</v>
      </c>
      <c r="U21" s="3">
        <v>1</v>
      </c>
    </row>
    <row r="22" spans="1:21" ht="57">
      <c r="A22" s="2" t="s">
        <v>153</v>
      </c>
      <c r="B22" s="2" t="s">
        <v>154</v>
      </c>
      <c r="C22" s="2" t="s">
        <v>371</v>
      </c>
      <c r="D22" s="2" t="s">
        <v>335</v>
      </c>
      <c r="E22" s="2" t="s">
        <v>376</v>
      </c>
      <c r="F22" s="2" t="s">
        <v>121</v>
      </c>
      <c r="G22" s="2" t="s">
        <v>53</v>
      </c>
      <c r="H22" s="2" t="s">
        <v>394</v>
      </c>
      <c r="I22" s="2" t="s">
        <v>54</v>
      </c>
      <c r="J22" s="2" t="s">
        <v>155</v>
      </c>
      <c r="K22" s="2" t="s">
        <v>91</v>
      </c>
      <c r="L22" s="2" t="s">
        <v>77</v>
      </c>
      <c r="M22" s="2" t="s">
        <v>66</v>
      </c>
      <c r="N22" s="2" t="s">
        <v>156</v>
      </c>
      <c r="O22" s="2" t="s">
        <v>79</v>
      </c>
      <c r="P22" s="2" t="s">
        <v>157</v>
      </c>
      <c r="Q22" s="2" t="s">
        <v>422</v>
      </c>
      <c r="R22" s="3">
        <v>0.74</v>
      </c>
      <c r="S22" s="3">
        <v>1</v>
      </c>
      <c r="T22" s="3">
        <v>0.75</v>
      </c>
      <c r="U22" s="3">
        <v>1</v>
      </c>
    </row>
    <row r="23" spans="1:21" ht="85.5">
      <c r="A23" s="2" t="s">
        <v>158</v>
      </c>
      <c r="B23" s="2" t="s">
        <v>159</v>
      </c>
      <c r="C23" s="2" t="s">
        <v>372</v>
      </c>
      <c r="D23" s="2" t="s">
        <v>336</v>
      </c>
      <c r="E23" s="2" t="s">
        <v>375</v>
      </c>
      <c r="F23" s="2" t="s">
        <v>389</v>
      </c>
      <c r="G23" s="2" t="s">
        <v>43</v>
      </c>
      <c r="H23" s="2" t="s">
        <v>408</v>
      </c>
      <c r="I23" s="2" t="s">
        <v>44</v>
      </c>
      <c r="J23" s="2" t="s">
        <v>96</v>
      </c>
      <c r="K23" s="2" t="s">
        <v>46</v>
      </c>
      <c r="L23" s="2" t="s">
        <v>47</v>
      </c>
      <c r="M23" s="2" t="s">
        <v>48</v>
      </c>
      <c r="N23" s="2" t="s">
        <v>123</v>
      </c>
      <c r="O23" s="2" t="s">
        <v>160</v>
      </c>
      <c r="P23" s="2" t="s">
        <v>161</v>
      </c>
      <c r="Q23" s="2" t="s">
        <v>100</v>
      </c>
      <c r="R23" s="3">
        <v>0.84</v>
      </c>
      <c r="S23" s="3">
        <v>1</v>
      </c>
      <c r="T23" s="3">
        <v>0.9</v>
      </c>
      <c r="U23" s="3">
        <v>1</v>
      </c>
    </row>
    <row r="24" spans="1:21" ht="71.25">
      <c r="A24" s="2" t="s">
        <v>162</v>
      </c>
      <c r="B24" s="2" t="s">
        <v>163</v>
      </c>
      <c r="C24" s="2" t="s">
        <v>373</v>
      </c>
      <c r="D24" s="2" t="s">
        <v>338</v>
      </c>
      <c r="E24" s="2" t="s">
        <v>375</v>
      </c>
      <c r="F24" s="2" t="s">
        <v>390</v>
      </c>
      <c r="G24" s="2" t="s">
        <v>108</v>
      </c>
      <c r="H24" s="2" t="s">
        <v>409</v>
      </c>
      <c r="I24" s="2" t="s">
        <v>109</v>
      </c>
      <c r="J24" s="2" t="s">
        <v>110</v>
      </c>
      <c r="K24" s="2" t="s">
        <v>65</v>
      </c>
      <c r="L24" s="2" t="s">
        <v>56</v>
      </c>
      <c r="M24" s="2" t="s">
        <v>66</v>
      </c>
      <c r="N24" s="2" t="s">
        <v>67</v>
      </c>
      <c r="O24" s="2" t="s">
        <v>164</v>
      </c>
      <c r="P24" s="2" t="s">
        <v>113</v>
      </c>
      <c r="Q24" s="2" t="s">
        <v>423</v>
      </c>
      <c r="R24" s="3">
        <v>0.85</v>
      </c>
      <c r="S24" s="3">
        <v>0.95</v>
      </c>
      <c r="T24" s="3">
        <v>1</v>
      </c>
      <c r="U24" s="3">
        <v>1</v>
      </c>
    </row>
  </sheetData>
  <mergeCells count="2">
    <mergeCell ref="A1:U1"/>
    <mergeCell ref="A2:U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3"/>
  <sheetViews>
    <sheetView topLeftCell="A2" workbookViewId="0">
      <selection activeCell="E7" sqref="E7"/>
    </sheetView>
  </sheetViews>
  <sheetFormatPr baseColWidth="10" defaultColWidth="9" defaultRowHeight="14.25"/>
  <cols>
    <col min="1" max="1" width="9" customWidth="1"/>
    <col min="2" max="2" width="20" customWidth="1"/>
    <col min="3" max="5" width="16" customWidth="1"/>
    <col min="6" max="6" width="18" customWidth="1"/>
    <col min="7" max="7" width="28" customWidth="1"/>
    <col min="8" max="8" width="22" customWidth="1"/>
    <col min="9" max="11" width="18" customWidth="1"/>
    <col min="12" max="12" width="26" customWidth="1"/>
    <col min="13" max="13" width="20" customWidth="1"/>
    <col min="14" max="15" width="24" customWidth="1"/>
    <col min="16" max="17" width="12" customWidth="1"/>
  </cols>
  <sheetData>
    <row r="1" spans="1:17" ht="26.1" customHeight="1">
      <c r="A1" s="7" t="s">
        <v>165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</row>
    <row r="2" spans="1:17" ht="33.950000000000003" customHeight="1">
      <c r="A2" s="8" t="s">
        <v>166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</row>
    <row r="4" spans="1:17" ht="24" customHeight="1">
      <c r="A4" s="12" t="s">
        <v>23</v>
      </c>
      <c r="B4" s="12" t="s">
        <v>167</v>
      </c>
      <c r="C4" s="12" t="s">
        <v>168</v>
      </c>
      <c r="D4" s="12" t="s">
        <v>169</v>
      </c>
      <c r="E4" s="12" t="s">
        <v>170</v>
      </c>
      <c r="F4" s="12" t="s">
        <v>171</v>
      </c>
      <c r="G4" s="12" t="s">
        <v>353</v>
      </c>
      <c r="H4" s="12" t="s">
        <v>172</v>
      </c>
      <c r="I4" s="12" t="s">
        <v>173</v>
      </c>
      <c r="J4" s="12" t="s">
        <v>174</v>
      </c>
      <c r="K4" s="12" t="s">
        <v>175</v>
      </c>
      <c r="L4" s="12" t="s">
        <v>176</v>
      </c>
      <c r="M4" s="12" t="s">
        <v>177</v>
      </c>
      <c r="N4" s="12" t="s">
        <v>178</v>
      </c>
      <c r="O4" s="12" t="s">
        <v>179</v>
      </c>
      <c r="P4" s="12" t="s">
        <v>180</v>
      </c>
      <c r="Q4" s="12" t="s">
        <v>181</v>
      </c>
    </row>
    <row r="5" spans="1:17" ht="57">
      <c r="A5" s="2" t="s">
        <v>182</v>
      </c>
      <c r="B5" s="2" t="s">
        <v>183</v>
      </c>
      <c r="C5" s="2" t="s">
        <v>334</v>
      </c>
      <c r="D5" s="2" t="s">
        <v>184</v>
      </c>
      <c r="E5" s="2" t="s">
        <v>335</v>
      </c>
      <c r="F5" s="2" t="s">
        <v>185</v>
      </c>
      <c r="G5" s="2" t="s">
        <v>186</v>
      </c>
      <c r="H5" s="2" t="s">
        <v>187</v>
      </c>
      <c r="I5" s="2" t="s">
        <v>340</v>
      </c>
      <c r="J5" s="2" t="s">
        <v>46</v>
      </c>
      <c r="K5" s="2" t="s">
        <v>188</v>
      </c>
      <c r="L5" s="2" t="s">
        <v>189</v>
      </c>
      <c r="M5" s="2" t="s">
        <v>190</v>
      </c>
      <c r="N5" s="2" t="s">
        <v>345</v>
      </c>
      <c r="O5" s="2" t="s">
        <v>350</v>
      </c>
      <c r="P5" s="3">
        <v>0.72</v>
      </c>
      <c r="Q5" s="3">
        <v>3</v>
      </c>
    </row>
    <row r="6" spans="1:17" ht="71.25">
      <c r="A6" s="2" t="s">
        <v>191</v>
      </c>
      <c r="B6" s="2" t="s">
        <v>192</v>
      </c>
      <c r="C6" s="2" t="s">
        <v>193</v>
      </c>
      <c r="D6" s="2" t="s">
        <v>194</v>
      </c>
      <c r="E6" s="2" t="s">
        <v>336</v>
      </c>
      <c r="F6" s="2" t="s">
        <v>195</v>
      </c>
      <c r="G6" s="2" t="s">
        <v>196</v>
      </c>
      <c r="H6" s="2" t="s">
        <v>197</v>
      </c>
      <c r="I6" s="2" t="s">
        <v>339</v>
      </c>
      <c r="J6" s="2" t="s">
        <v>65</v>
      </c>
      <c r="K6" s="2" t="s">
        <v>198</v>
      </c>
      <c r="L6" s="2" t="s">
        <v>199</v>
      </c>
      <c r="M6" s="2" t="s">
        <v>200</v>
      </c>
      <c r="N6" s="2" t="s">
        <v>346</v>
      </c>
      <c r="O6" s="2" t="s">
        <v>351</v>
      </c>
      <c r="P6" s="3">
        <v>0.1</v>
      </c>
      <c r="Q6" s="3">
        <v>3</v>
      </c>
    </row>
    <row r="7" spans="1:17" ht="57">
      <c r="A7" s="2" t="s">
        <v>201</v>
      </c>
      <c r="B7" s="2" t="s">
        <v>202</v>
      </c>
      <c r="C7" s="2" t="s">
        <v>334</v>
      </c>
      <c r="D7" s="2" t="s">
        <v>203</v>
      </c>
      <c r="E7" s="2" t="s">
        <v>337</v>
      </c>
      <c r="F7" s="2" t="s">
        <v>204</v>
      </c>
      <c r="G7" s="2" t="s">
        <v>205</v>
      </c>
      <c r="H7" s="2" t="s">
        <v>206</v>
      </c>
      <c r="I7" s="2" t="s">
        <v>341</v>
      </c>
      <c r="J7" s="2" t="s">
        <v>344</v>
      </c>
      <c r="K7" s="2" t="s">
        <v>207</v>
      </c>
      <c r="L7" s="2" t="s">
        <v>208</v>
      </c>
      <c r="M7" s="2" t="s">
        <v>209</v>
      </c>
      <c r="N7" s="2" t="s">
        <v>347</v>
      </c>
      <c r="O7" s="2" t="s">
        <v>210</v>
      </c>
      <c r="P7" s="3">
        <v>1</v>
      </c>
      <c r="Q7" s="3">
        <v>3</v>
      </c>
    </row>
    <row r="8" spans="1:17" ht="71.25">
      <c r="A8" s="2" t="s">
        <v>211</v>
      </c>
      <c r="B8" s="2" t="s">
        <v>212</v>
      </c>
      <c r="C8" s="2" t="s">
        <v>213</v>
      </c>
      <c r="D8" s="2" t="s">
        <v>214</v>
      </c>
      <c r="E8" s="2" t="s">
        <v>338</v>
      </c>
      <c r="F8" s="2" t="s">
        <v>195</v>
      </c>
      <c r="G8" s="2" t="s">
        <v>215</v>
      </c>
      <c r="H8" s="2" t="s">
        <v>206</v>
      </c>
      <c r="I8" s="2" t="s">
        <v>342</v>
      </c>
      <c r="J8" s="2" t="s">
        <v>111</v>
      </c>
      <c r="K8" s="2" t="s">
        <v>198</v>
      </c>
      <c r="L8" s="2" t="s">
        <v>216</v>
      </c>
      <c r="M8" s="2" t="s">
        <v>200</v>
      </c>
      <c r="N8" s="2" t="s">
        <v>348</v>
      </c>
      <c r="O8" s="2" t="s">
        <v>352</v>
      </c>
      <c r="P8" s="3">
        <v>0.1</v>
      </c>
      <c r="Q8" s="3">
        <v>3</v>
      </c>
    </row>
    <row r="9" spans="1:17" ht="57">
      <c r="A9" s="2" t="s">
        <v>217</v>
      </c>
      <c r="B9" s="2" t="s">
        <v>218</v>
      </c>
      <c r="C9" s="2" t="s">
        <v>193</v>
      </c>
      <c r="D9" s="2" t="s">
        <v>219</v>
      </c>
      <c r="E9" s="2" t="s">
        <v>335</v>
      </c>
      <c r="F9" s="2" t="s">
        <v>220</v>
      </c>
      <c r="G9" s="2" t="s">
        <v>221</v>
      </c>
      <c r="H9" s="2" t="s">
        <v>222</v>
      </c>
      <c r="I9" s="2" t="s">
        <v>343</v>
      </c>
      <c r="J9" s="2" t="s">
        <v>344</v>
      </c>
      <c r="K9" s="2" t="s">
        <v>223</v>
      </c>
      <c r="L9" s="2" t="s">
        <v>224</v>
      </c>
      <c r="M9" s="2" t="s">
        <v>225</v>
      </c>
      <c r="N9" s="2" t="s">
        <v>349</v>
      </c>
      <c r="O9" s="2" t="s">
        <v>350</v>
      </c>
      <c r="P9" s="3">
        <v>1</v>
      </c>
      <c r="Q9" s="3">
        <v>3</v>
      </c>
    </row>
    <row r="13" spans="1:17">
      <c r="G13" s="13"/>
    </row>
  </sheetData>
  <mergeCells count="2">
    <mergeCell ref="A1:Q1"/>
    <mergeCell ref="A2:Q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0"/>
  <sheetViews>
    <sheetView workbookViewId="0">
      <selection activeCell="A17" sqref="A17:I17"/>
    </sheetView>
  </sheetViews>
  <sheetFormatPr baseColWidth="10" defaultColWidth="9" defaultRowHeight="14.25"/>
  <cols>
    <col min="1" max="1" width="24" customWidth="1"/>
    <col min="2" max="2" width="34" customWidth="1"/>
    <col min="3" max="3" width="12" customWidth="1"/>
    <col min="4" max="4" width="34" customWidth="1"/>
    <col min="6" max="6" width="24" customWidth="1"/>
    <col min="7" max="7" width="32" customWidth="1"/>
    <col min="8" max="8" width="28" customWidth="1"/>
    <col min="9" max="9" width="20" customWidth="1"/>
  </cols>
  <sheetData>
    <row r="1" spans="1:9" ht="26.1" customHeight="1">
      <c r="A1" s="7" t="s">
        <v>226</v>
      </c>
      <c r="B1" s="7"/>
      <c r="C1" s="7"/>
      <c r="D1" s="7"/>
      <c r="E1" s="7"/>
      <c r="F1" s="7"/>
      <c r="G1" s="7"/>
      <c r="H1" s="7"/>
      <c r="I1" s="7"/>
    </row>
    <row r="2" spans="1:9" ht="33.950000000000003" customHeight="1">
      <c r="A2" s="8" t="s">
        <v>227</v>
      </c>
      <c r="B2" s="8"/>
      <c r="C2" s="8"/>
      <c r="D2" s="8"/>
      <c r="E2" s="8"/>
      <c r="F2" s="8"/>
      <c r="G2" s="8"/>
      <c r="H2" s="8"/>
      <c r="I2" s="8"/>
    </row>
    <row r="4" spans="1:9" ht="24" customHeight="1">
      <c r="A4" s="1" t="s">
        <v>228</v>
      </c>
      <c r="B4" s="1" t="s">
        <v>229</v>
      </c>
      <c r="C4" s="1" t="s">
        <v>230</v>
      </c>
      <c r="D4" s="1" t="s">
        <v>231</v>
      </c>
      <c r="E4" s="2"/>
      <c r="F4" s="1" t="s">
        <v>232</v>
      </c>
      <c r="G4" s="1" t="s">
        <v>233</v>
      </c>
      <c r="H4" s="1" t="s">
        <v>234</v>
      </c>
      <c r="I4" s="1" t="s">
        <v>235</v>
      </c>
    </row>
    <row r="5" spans="1:9" ht="42.75">
      <c r="A5" s="2" t="s">
        <v>236</v>
      </c>
      <c r="B5" s="2" t="s">
        <v>237</v>
      </c>
      <c r="C5" s="4">
        <v>30</v>
      </c>
      <c r="D5" s="2" t="s">
        <v>238</v>
      </c>
      <c r="E5" s="2"/>
      <c r="F5" s="2" t="s">
        <v>239</v>
      </c>
      <c r="G5" s="2" t="s">
        <v>240</v>
      </c>
      <c r="H5" s="2" t="s">
        <v>241</v>
      </c>
      <c r="I5" s="2" t="s">
        <v>242</v>
      </c>
    </row>
    <row r="6" spans="1:9" ht="42.75">
      <c r="A6" s="2" t="s">
        <v>243</v>
      </c>
      <c r="B6" s="2" t="s">
        <v>244</v>
      </c>
      <c r="C6" s="4">
        <v>18</v>
      </c>
      <c r="D6" s="2" t="s">
        <v>245</v>
      </c>
      <c r="E6" s="2"/>
      <c r="F6" s="2" t="s">
        <v>246</v>
      </c>
      <c r="G6" s="2" t="s">
        <v>247</v>
      </c>
      <c r="H6" s="2" t="s">
        <v>248</v>
      </c>
      <c r="I6" s="2" t="s">
        <v>242</v>
      </c>
    </row>
    <row r="7" spans="1:9" ht="42.75">
      <c r="A7" s="2" t="s">
        <v>249</v>
      </c>
      <c r="B7" s="2" t="s">
        <v>250</v>
      </c>
      <c r="C7" s="4">
        <v>14</v>
      </c>
      <c r="D7" s="2" t="s">
        <v>251</v>
      </c>
      <c r="E7" s="2"/>
      <c r="F7" s="2" t="s">
        <v>252</v>
      </c>
      <c r="G7" s="2" t="s">
        <v>253</v>
      </c>
      <c r="H7" s="2" t="s">
        <v>254</v>
      </c>
      <c r="I7" s="2" t="s">
        <v>242</v>
      </c>
    </row>
    <row r="8" spans="1:9" ht="42.75">
      <c r="A8" s="2" t="s">
        <v>255</v>
      </c>
      <c r="B8" s="2" t="s">
        <v>256</v>
      </c>
      <c r="C8" s="4">
        <v>14</v>
      </c>
      <c r="D8" s="2" t="s">
        <v>257</v>
      </c>
      <c r="E8" s="2"/>
      <c r="F8" s="2" t="s">
        <v>258</v>
      </c>
      <c r="G8" s="2" t="s">
        <v>259</v>
      </c>
      <c r="H8" s="2" t="s">
        <v>260</v>
      </c>
      <c r="I8" s="2" t="s">
        <v>242</v>
      </c>
    </row>
    <row r="9" spans="1:9" ht="42.75">
      <c r="A9" s="2" t="s">
        <v>261</v>
      </c>
      <c r="B9" s="2" t="s">
        <v>262</v>
      </c>
      <c r="C9" s="4">
        <v>9</v>
      </c>
      <c r="D9" s="2" t="s">
        <v>263</v>
      </c>
      <c r="E9" s="2"/>
      <c r="F9" s="2"/>
      <c r="G9" s="2"/>
      <c r="H9" s="2"/>
      <c r="I9" s="2"/>
    </row>
    <row r="10" spans="1:9" ht="42.75">
      <c r="A10" s="2" t="s">
        <v>264</v>
      </c>
      <c r="B10" s="2" t="s">
        <v>265</v>
      </c>
      <c r="C10" s="4">
        <v>6</v>
      </c>
      <c r="D10" s="2" t="s">
        <v>266</v>
      </c>
      <c r="E10" s="2"/>
      <c r="F10" s="2"/>
      <c r="G10" s="2"/>
      <c r="H10" s="2"/>
      <c r="I10" s="2"/>
    </row>
    <row r="11" spans="1:9" ht="28.5">
      <c r="A11" s="2" t="s">
        <v>267</v>
      </c>
      <c r="B11" s="2" t="s">
        <v>268</v>
      </c>
      <c r="C11" s="4">
        <v>4</v>
      </c>
      <c r="D11" s="2" t="s">
        <v>269</v>
      </c>
      <c r="E11" s="2"/>
      <c r="F11" s="2"/>
      <c r="G11" s="2"/>
      <c r="H11" s="2"/>
      <c r="I11" s="2"/>
    </row>
    <row r="12" spans="1:9" ht="42.75">
      <c r="A12" s="2" t="s">
        <v>270</v>
      </c>
      <c r="B12" s="2" t="s">
        <v>271</v>
      </c>
      <c r="C12" s="4">
        <v>5</v>
      </c>
      <c r="D12" s="2" t="s">
        <v>272</v>
      </c>
      <c r="E12" s="2"/>
      <c r="F12" s="2"/>
      <c r="G12" s="2"/>
      <c r="H12" s="2"/>
      <c r="I12" s="2"/>
    </row>
    <row r="13" spans="1:9">
      <c r="A13" s="2"/>
      <c r="B13" s="2"/>
      <c r="C13" s="2"/>
      <c r="D13" s="2"/>
      <c r="E13" s="2"/>
      <c r="F13" s="2"/>
      <c r="G13" s="2"/>
      <c r="H13" s="2"/>
      <c r="I13" s="2"/>
    </row>
    <row r="14" spans="1:9">
      <c r="A14" s="2"/>
      <c r="B14" s="2"/>
      <c r="C14" s="2"/>
      <c r="D14" s="2">
        <f>SUM(C4:C12)</f>
        <v>100</v>
      </c>
      <c r="E14" s="2"/>
      <c r="F14" s="2"/>
      <c r="G14" s="2"/>
      <c r="H14" s="2"/>
      <c r="I14" s="2"/>
    </row>
    <row r="15" spans="1:9" ht="15">
      <c r="A15" s="10" t="s">
        <v>273</v>
      </c>
      <c r="B15" s="10"/>
      <c r="C15" s="10"/>
      <c r="D15" s="10"/>
      <c r="E15" s="10"/>
      <c r="F15" s="10"/>
      <c r="G15" s="10"/>
      <c r="H15" s="10"/>
      <c r="I15" s="10"/>
    </row>
    <row r="16" spans="1:9" ht="24" customHeight="1">
      <c r="A16" s="5" t="s">
        <v>274</v>
      </c>
      <c r="B16" s="5"/>
      <c r="C16" s="5"/>
      <c r="D16" s="5"/>
      <c r="E16" s="5"/>
      <c r="F16" s="5"/>
      <c r="G16" s="5"/>
      <c r="H16" s="5"/>
      <c r="I16" s="5"/>
    </row>
    <row r="17" spans="1:9" ht="24" customHeight="1">
      <c r="A17" s="11" t="s">
        <v>275</v>
      </c>
      <c r="B17" s="11"/>
      <c r="C17" s="11"/>
      <c r="D17" s="11"/>
      <c r="E17" s="11"/>
      <c r="F17" s="11"/>
      <c r="G17" s="11"/>
      <c r="H17" s="11"/>
      <c r="I17" s="11"/>
    </row>
    <row r="18" spans="1:9" ht="24" customHeight="1">
      <c r="A18" s="5" t="s">
        <v>276</v>
      </c>
      <c r="B18" s="5"/>
      <c r="C18" s="5"/>
      <c r="D18" s="5"/>
      <c r="E18" s="5"/>
      <c r="F18" s="5"/>
      <c r="G18" s="5"/>
      <c r="H18" s="5"/>
      <c r="I18" s="5"/>
    </row>
    <row r="19" spans="1:9" ht="24" customHeight="1">
      <c r="A19" s="5" t="s">
        <v>277</v>
      </c>
      <c r="B19" s="5"/>
      <c r="C19" s="5"/>
      <c r="D19" s="5"/>
      <c r="E19" s="5"/>
      <c r="F19" s="5"/>
      <c r="G19" s="5"/>
      <c r="H19" s="5"/>
      <c r="I19" s="5"/>
    </row>
    <row r="20" spans="1:9" ht="24" customHeight="1">
      <c r="A20" s="5" t="s">
        <v>278</v>
      </c>
      <c r="B20" s="5"/>
      <c r="C20" s="5"/>
      <c r="D20" s="5"/>
      <c r="E20" s="5"/>
      <c r="F20" s="5"/>
      <c r="G20" s="5"/>
      <c r="H20" s="5"/>
      <c r="I20" s="5"/>
    </row>
  </sheetData>
  <mergeCells count="8">
    <mergeCell ref="A18:I18"/>
    <mergeCell ref="A19:I19"/>
    <mergeCell ref="A20:I20"/>
    <mergeCell ref="A1:I1"/>
    <mergeCell ref="A2:I2"/>
    <mergeCell ref="A15:I15"/>
    <mergeCell ref="A16:I16"/>
    <mergeCell ref="A17:I1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104"/>
  <sheetViews>
    <sheetView workbookViewId="0"/>
  </sheetViews>
  <sheetFormatPr baseColWidth="10" defaultColWidth="9" defaultRowHeight="14.25"/>
  <cols>
    <col min="1" max="1" width="10" customWidth="1"/>
    <col min="2" max="2" width="18" customWidth="1"/>
    <col min="3" max="3" width="10" customWidth="1"/>
    <col min="4" max="4" width="18" customWidth="1"/>
    <col min="5" max="24" width="12" customWidth="1"/>
    <col min="25" max="25" width="28" customWidth="1"/>
    <col min="26" max="28" width="36" customWidth="1"/>
    <col min="29" max="29" width="46" customWidth="1"/>
  </cols>
  <sheetData>
    <row r="1" spans="1:29" ht="26.1" customHeight="1">
      <c r="A1" s="7" t="s">
        <v>279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</row>
    <row r="2" spans="1:29" ht="33.950000000000003" customHeight="1">
      <c r="A2" s="8" t="s">
        <v>280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4" spans="1:29" ht="24" customHeight="1">
      <c r="A4" s="1" t="s">
        <v>281</v>
      </c>
      <c r="B4" s="1" t="s">
        <v>167</v>
      </c>
      <c r="C4" s="1" t="s">
        <v>282</v>
      </c>
      <c r="D4" s="1" t="s">
        <v>283</v>
      </c>
      <c r="E4" s="1" t="s">
        <v>284</v>
      </c>
      <c r="F4" s="1" t="s">
        <v>285</v>
      </c>
      <c r="G4" s="1" t="s">
        <v>286</v>
      </c>
      <c r="H4" s="1" t="s">
        <v>287</v>
      </c>
      <c r="I4" s="1" t="s">
        <v>288</v>
      </c>
      <c r="J4" s="1" t="s">
        <v>289</v>
      </c>
      <c r="K4" s="1" t="s">
        <v>290</v>
      </c>
      <c r="L4" s="1" t="s">
        <v>291</v>
      </c>
      <c r="M4" s="1" t="s">
        <v>292</v>
      </c>
      <c r="N4" s="1" t="s">
        <v>293</v>
      </c>
      <c r="O4" s="1" t="s">
        <v>294</v>
      </c>
      <c r="P4" s="1" t="s">
        <v>295</v>
      </c>
      <c r="Q4" s="1" t="s">
        <v>296</v>
      </c>
      <c r="R4" s="1" t="s">
        <v>297</v>
      </c>
      <c r="S4" s="1" t="s">
        <v>298</v>
      </c>
      <c r="T4" s="1" t="s">
        <v>299</v>
      </c>
      <c r="U4" s="1" t="s">
        <v>300</v>
      </c>
      <c r="V4" s="1" t="s">
        <v>301</v>
      </c>
      <c r="W4" s="1" t="s">
        <v>302</v>
      </c>
      <c r="X4" s="1" t="s">
        <v>303</v>
      </c>
      <c r="Y4" s="1" t="s">
        <v>235</v>
      </c>
      <c r="Z4" s="1" t="s">
        <v>304</v>
      </c>
      <c r="AA4" s="1" t="s">
        <v>305</v>
      </c>
      <c r="AB4" s="1" t="s">
        <v>306</v>
      </c>
      <c r="AC4" s="1" t="s">
        <v>307</v>
      </c>
    </row>
    <row r="5" spans="1:29" ht="30" customHeight="1">
      <c r="A5" s="2" t="s">
        <v>182</v>
      </c>
      <c r="B5" s="2" t="s">
        <v>183</v>
      </c>
      <c r="C5" s="2" t="s">
        <v>41</v>
      </c>
      <c r="D5" s="2" t="s">
        <v>42</v>
      </c>
      <c r="E5" s="3">
        <v>0.33</v>
      </c>
      <c r="F5" s="3">
        <v>0</v>
      </c>
      <c r="G5" s="3">
        <v>1</v>
      </c>
      <c r="H5" s="3">
        <v>0.99</v>
      </c>
      <c r="I5" s="3">
        <v>0.75</v>
      </c>
      <c r="J5" s="3">
        <v>1</v>
      </c>
      <c r="K5" s="3">
        <v>1</v>
      </c>
      <c r="L5" s="3">
        <v>1</v>
      </c>
      <c r="M5" s="3">
        <v>1</v>
      </c>
      <c r="N5" s="3">
        <v>8.2200000000000006</v>
      </c>
      <c r="O5" s="3">
        <f>E5*Criterios_Match!$C$5</f>
        <v>9.9</v>
      </c>
      <c r="P5" s="3">
        <f>G5*Criterios_Match!$C$6</f>
        <v>18</v>
      </c>
      <c r="Q5" s="3">
        <f>H5*Criterios_Match!$C$7</f>
        <v>13.86</v>
      </c>
      <c r="R5" s="3">
        <f>I5*Criterios_Match!$C$8</f>
        <v>10.5</v>
      </c>
      <c r="S5" s="3">
        <f>J5*Criterios_Match!$C$9</f>
        <v>9</v>
      </c>
      <c r="T5" s="3">
        <f>K5*Criterios_Match!$C$10</f>
        <v>6</v>
      </c>
      <c r="U5" s="3">
        <f>L5*Criterios_Match!$C$11</f>
        <v>4</v>
      </c>
      <c r="V5" s="3">
        <f>M5*Criterios_Match!$C$12</f>
        <v>5</v>
      </c>
      <c r="W5" s="3">
        <f t="shared" ref="W5:W36" si="0">ROUND(SUM(O5:V5)+N5,2)</f>
        <v>84.48</v>
      </c>
      <c r="X5" s="3">
        <f t="shared" ref="X5:X36" si="1">COUNTIFS($A$5:$A$104,A5,$W$5:$W$104,"&gt;"&amp;W5)+1</f>
        <v>5</v>
      </c>
      <c r="Y5" s="2" t="s">
        <v>308</v>
      </c>
      <c r="Z5" s="2" t="s">
        <v>309</v>
      </c>
      <c r="AA5" s="2" t="s">
        <v>310</v>
      </c>
      <c r="AB5" s="2" t="s">
        <v>311</v>
      </c>
      <c r="AC5" s="2" t="s">
        <v>312</v>
      </c>
    </row>
    <row r="6" spans="1:29" ht="30" customHeight="1">
      <c r="A6" s="2" t="s">
        <v>182</v>
      </c>
      <c r="B6" s="2" t="s">
        <v>183</v>
      </c>
      <c r="C6" s="2" t="s">
        <v>51</v>
      </c>
      <c r="D6" s="2" t="s">
        <v>52</v>
      </c>
      <c r="E6" s="3">
        <v>0.5</v>
      </c>
      <c r="F6" s="3">
        <v>0</v>
      </c>
      <c r="G6" s="3">
        <v>1</v>
      </c>
      <c r="H6" s="3">
        <v>0.82</v>
      </c>
      <c r="I6" s="3">
        <v>0.95</v>
      </c>
      <c r="J6" s="3">
        <v>1</v>
      </c>
      <c r="K6" s="3">
        <v>0.96</v>
      </c>
      <c r="L6" s="3">
        <v>1</v>
      </c>
      <c r="M6" s="3">
        <v>0.95</v>
      </c>
      <c r="N6" s="3">
        <v>8.31</v>
      </c>
      <c r="O6" s="3">
        <f>E6*Criterios_Match!$C$5</f>
        <v>15</v>
      </c>
      <c r="P6" s="3">
        <f>G6*Criterios_Match!$C$6</f>
        <v>18</v>
      </c>
      <c r="Q6" s="3">
        <f>H6*Criterios_Match!$C$7</f>
        <v>11.479999999999999</v>
      </c>
      <c r="R6" s="3">
        <f>I6*Criterios_Match!$C$8</f>
        <v>13.299999999999999</v>
      </c>
      <c r="S6" s="3">
        <f>J6*Criterios_Match!$C$9</f>
        <v>9</v>
      </c>
      <c r="T6" s="3">
        <f>K6*Criterios_Match!$C$10</f>
        <v>5.76</v>
      </c>
      <c r="U6" s="3">
        <f>L6*Criterios_Match!$C$11</f>
        <v>4</v>
      </c>
      <c r="V6" s="3">
        <f>M6*Criterios_Match!$C$12</f>
        <v>4.75</v>
      </c>
      <c r="W6" s="3">
        <f t="shared" si="0"/>
        <v>89.6</v>
      </c>
      <c r="X6" s="3">
        <f t="shared" si="1"/>
        <v>2</v>
      </c>
      <c r="Y6" s="2" t="s">
        <v>308</v>
      </c>
      <c r="Z6" s="2" t="s">
        <v>313</v>
      </c>
      <c r="AA6" s="2" t="s">
        <v>309</v>
      </c>
      <c r="AB6" s="2" t="s">
        <v>310</v>
      </c>
      <c r="AC6" s="2" t="s">
        <v>312</v>
      </c>
    </row>
    <row r="7" spans="1:29" ht="30" customHeight="1">
      <c r="A7" s="2" t="s">
        <v>182</v>
      </c>
      <c r="B7" s="2" t="s">
        <v>183</v>
      </c>
      <c r="C7" s="2" t="s">
        <v>62</v>
      </c>
      <c r="D7" s="2" t="s">
        <v>63</v>
      </c>
      <c r="E7" s="3">
        <v>0.48</v>
      </c>
      <c r="F7" s="3">
        <v>0</v>
      </c>
      <c r="G7" s="3">
        <v>0.75</v>
      </c>
      <c r="H7" s="3">
        <v>0.97</v>
      </c>
      <c r="I7" s="3">
        <v>0.7</v>
      </c>
      <c r="J7" s="3">
        <v>0.25</v>
      </c>
      <c r="K7" s="3">
        <v>1</v>
      </c>
      <c r="L7" s="3">
        <v>0.4</v>
      </c>
      <c r="M7" s="3">
        <v>0.95</v>
      </c>
      <c r="N7" s="3">
        <v>5.76</v>
      </c>
      <c r="O7" s="3">
        <f>E7*Criterios_Match!$C$5</f>
        <v>14.399999999999999</v>
      </c>
      <c r="P7" s="3">
        <f>G7*Criterios_Match!$C$6</f>
        <v>13.5</v>
      </c>
      <c r="Q7" s="3">
        <f>H7*Criterios_Match!$C$7</f>
        <v>13.58</v>
      </c>
      <c r="R7" s="3">
        <f>I7*Criterios_Match!$C$8</f>
        <v>9.7999999999999989</v>
      </c>
      <c r="S7" s="3">
        <f>J7*Criterios_Match!$C$9</f>
        <v>2.25</v>
      </c>
      <c r="T7" s="3">
        <f>K7*Criterios_Match!$C$10</f>
        <v>6</v>
      </c>
      <c r="U7" s="3">
        <f>L7*Criterios_Match!$C$11</f>
        <v>1.6</v>
      </c>
      <c r="V7" s="3">
        <f>M7*Criterios_Match!$C$12</f>
        <v>4.75</v>
      </c>
      <c r="W7" s="3">
        <f t="shared" si="0"/>
        <v>71.64</v>
      </c>
      <c r="X7" s="3">
        <f t="shared" si="1"/>
        <v>16</v>
      </c>
      <c r="Y7" s="2" t="s">
        <v>308</v>
      </c>
      <c r="Z7" s="2" t="s">
        <v>313</v>
      </c>
      <c r="AA7" s="2" t="s">
        <v>310</v>
      </c>
      <c r="AB7" s="2" t="s">
        <v>311</v>
      </c>
      <c r="AC7" s="2" t="s">
        <v>312</v>
      </c>
    </row>
    <row r="8" spans="1:29" ht="30" customHeight="1">
      <c r="A8" s="2" t="s">
        <v>182</v>
      </c>
      <c r="B8" s="2" t="s">
        <v>183</v>
      </c>
      <c r="C8" s="2" t="s">
        <v>71</v>
      </c>
      <c r="D8" s="2" t="s">
        <v>72</v>
      </c>
      <c r="E8" s="3">
        <v>0.67</v>
      </c>
      <c r="F8" s="3">
        <v>0</v>
      </c>
      <c r="G8" s="3">
        <v>0.35</v>
      </c>
      <c r="H8" s="3">
        <v>0.9</v>
      </c>
      <c r="I8" s="3">
        <v>0.3</v>
      </c>
      <c r="J8" s="3">
        <v>1</v>
      </c>
      <c r="K8" s="3">
        <v>0.9</v>
      </c>
      <c r="L8" s="3">
        <v>0.4</v>
      </c>
      <c r="M8" s="3">
        <v>1</v>
      </c>
      <c r="N8" s="3">
        <v>6.6</v>
      </c>
      <c r="O8" s="3">
        <f>E8*Criterios_Match!$C$5</f>
        <v>20.100000000000001</v>
      </c>
      <c r="P8" s="3">
        <f>G8*Criterios_Match!$C$6</f>
        <v>6.3</v>
      </c>
      <c r="Q8" s="3">
        <f>H8*Criterios_Match!$C$7</f>
        <v>12.6</v>
      </c>
      <c r="R8" s="3">
        <f>I8*Criterios_Match!$C$8</f>
        <v>4.2</v>
      </c>
      <c r="S8" s="3">
        <f>J8*Criterios_Match!$C$9</f>
        <v>9</v>
      </c>
      <c r="T8" s="3">
        <f>K8*Criterios_Match!$C$10</f>
        <v>5.4</v>
      </c>
      <c r="U8" s="3">
        <f>L8*Criterios_Match!$C$11</f>
        <v>1.6</v>
      </c>
      <c r="V8" s="3">
        <f>M8*Criterios_Match!$C$12</f>
        <v>5</v>
      </c>
      <c r="W8" s="3">
        <f t="shared" si="0"/>
        <v>70.8</v>
      </c>
      <c r="X8" s="3">
        <f t="shared" si="1"/>
        <v>18</v>
      </c>
      <c r="Y8" s="2" t="s">
        <v>308</v>
      </c>
      <c r="Z8" s="2" t="s">
        <v>313</v>
      </c>
      <c r="AA8" s="2" t="s">
        <v>309</v>
      </c>
      <c r="AB8" s="2" t="s">
        <v>311</v>
      </c>
      <c r="AC8" s="2" t="s">
        <v>312</v>
      </c>
    </row>
    <row r="9" spans="1:29" ht="30" customHeight="1">
      <c r="A9" s="2" t="s">
        <v>182</v>
      </c>
      <c r="B9" s="2" t="s">
        <v>183</v>
      </c>
      <c r="C9" s="2" t="s">
        <v>81</v>
      </c>
      <c r="D9" s="2" t="s">
        <v>82</v>
      </c>
      <c r="E9" s="3">
        <v>0</v>
      </c>
      <c r="F9" s="3">
        <v>0</v>
      </c>
      <c r="G9" s="3">
        <v>0.75</v>
      </c>
      <c r="H9" s="3">
        <v>0.88</v>
      </c>
      <c r="I9" s="3">
        <v>0.95</v>
      </c>
      <c r="J9" s="3">
        <v>1</v>
      </c>
      <c r="K9" s="3">
        <v>0.96</v>
      </c>
      <c r="L9" s="3">
        <v>1</v>
      </c>
      <c r="M9" s="3">
        <v>0.85</v>
      </c>
      <c r="N9" s="3">
        <v>8.49</v>
      </c>
      <c r="O9" s="3">
        <f>E9*Criterios_Match!$C$5</f>
        <v>0</v>
      </c>
      <c r="P9" s="3">
        <f>G9*Criterios_Match!$C$6</f>
        <v>13.5</v>
      </c>
      <c r="Q9" s="3">
        <f>H9*Criterios_Match!$C$7</f>
        <v>12.32</v>
      </c>
      <c r="R9" s="3">
        <f>I9*Criterios_Match!$C$8</f>
        <v>13.299999999999999</v>
      </c>
      <c r="S9" s="3">
        <f>J9*Criterios_Match!$C$9</f>
        <v>9</v>
      </c>
      <c r="T9" s="3">
        <f>K9*Criterios_Match!$C$10</f>
        <v>5.76</v>
      </c>
      <c r="U9" s="3">
        <f>L9*Criterios_Match!$C$11</f>
        <v>4</v>
      </c>
      <c r="V9" s="3">
        <f>M9*Criterios_Match!$C$12</f>
        <v>4.25</v>
      </c>
      <c r="W9" s="3">
        <f t="shared" si="0"/>
        <v>70.62</v>
      </c>
      <c r="X9" s="3">
        <f t="shared" si="1"/>
        <v>19</v>
      </c>
      <c r="Y9" s="2" t="s">
        <v>308</v>
      </c>
      <c r="Z9" s="2" t="s">
        <v>309</v>
      </c>
      <c r="AA9" s="2" t="s">
        <v>310</v>
      </c>
      <c r="AB9" s="2" t="s">
        <v>311</v>
      </c>
      <c r="AC9" s="2" t="s">
        <v>312</v>
      </c>
    </row>
    <row r="10" spans="1:29" ht="30" customHeight="1">
      <c r="A10" s="2" t="s">
        <v>182</v>
      </c>
      <c r="B10" s="2" t="s">
        <v>183</v>
      </c>
      <c r="C10" s="2" t="s">
        <v>87</v>
      </c>
      <c r="D10" s="2" t="s">
        <v>88</v>
      </c>
      <c r="E10" s="3">
        <v>0.5</v>
      </c>
      <c r="F10" s="3">
        <v>0</v>
      </c>
      <c r="G10" s="3">
        <v>0.75</v>
      </c>
      <c r="H10" s="3">
        <v>0.72</v>
      </c>
      <c r="I10" s="3">
        <v>0.95</v>
      </c>
      <c r="J10" s="3">
        <v>1</v>
      </c>
      <c r="K10" s="3">
        <v>0.84</v>
      </c>
      <c r="L10" s="3">
        <v>1</v>
      </c>
      <c r="M10" s="3">
        <v>0.95</v>
      </c>
      <c r="N10" s="3">
        <v>8.01</v>
      </c>
      <c r="O10" s="3">
        <f>E10*Criterios_Match!$C$5</f>
        <v>15</v>
      </c>
      <c r="P10" s="3">
        <f>G10*Criterios_Match!$C$6</f>
        <v>13.5</v>
      </c>
      <c r="Q10" s="3">
        <f>H10*Criterios_Match!$C$7</f>
        <v>10.08</v>
      </c>
      <c r="R10" s="3">
        <f>I10*Criterios_Match!$C$8</f>
        <v>13.299999999999999</v>
      </c>
      <c r="S10" s="3">
        <f>J10*Criterios_Match!$C$9</f>
        <v>9</v>
      </c>
      <c r="T10" s="3">
        <f>K10*Criterios_Match!$C$10</f>
        <v>5.04</v>
      </c>
      <c r="U10" s="3">
        <f>L10*Criterios_Match!$C$11</f>
        <v>4</v>
      </c>
      <c r="V10" s="3">
        <f>M10*Criterios_Match!$C$12</f>
        <v>4.75</v>
      </c>
      <c r="W10" s="3">
        <f t="shared" si="0"/>
        <v>82.68</v>
      </c>
      <c r="X10" s="3">
        <f t="shared" si="1"/>
        <v>6</v>
      </c>
      <c r="Y10" s="2" t="s">
        <v>308</v>
      </c>
      <c r="Z10" s="2" t="s">
        <v>313</v>
      </c>
      <c r="AA10" s="2" t="s">
        <v>309</v>
      </c>
      <c r="AB10" s="2" t="s">
        <v>310</v>
      </c>
      <c r="AC10" s="2" t="s">
        <v>312</v>
      </c>
    </row>
    <row r="11" spans="1:29" ht="30" customHeight="1">
      <c r="A11" s="2" t="s">
        <v>182</v>
      </c>
      <c r="B11" s="2" t="s">
        <v>183</v>
      </c>
      <c r="C11" s="2" t="s">
        <v>94</v>
      </c>
      <c r="D11" s="2" t="s">
        <v>95</v>
      </c>
      <c r="E11" s="3">
        <v>0.67</v>
      </c>
      <c r="F11" s="3">
        <v>0</v>
      </c>
      <c r="G11" s="3">
        <v>1</v>
      </c>
      <c r="H11" s="3">
        <v>0.94</v>
      </c>
      <c r="I11" s="3">
        <v>0.5</v>
      </c>
      <c r="J11" s="3">
        <v>0.25</v>
      </c>
      <c r="K11" s="3">
        <v>1</v>
      </c>
      <c r="L11" s="3">
        <v>0.4</v>
      </c>
      <c r="M11" s="3">
        <v>1</v>
      </c>
      <c r="N11" s="3">
        <v>5.07</v>
      </c>
      <c r="O11" s="3">
        <f>E11*Criterios_Match!$C$5</f>
        <v>20.100000000000001</v>
      </c>
      <c r="P11" s="3">
        <f>G11*Criterios_Match!$C$6</f>
        <v>18</v>
      </c>
      <c r="Q11" s="3">
        <f>H11*Criterios_Match!$C$7</f>
        <v>13.16</v>
      </c>
      <c r="R11" s="3">
        <f>I11*Criterios_Match!$C$8</f>
        <v>7</v>
      </c>
      <c r="S11" s="3">
        <f>J11*Criterios_Match!$C$9</f>
        <v>2.25</v>
      </c>
      <c r="T11" s="3">
        <f>K11*Criterios_Match!$C$10</f>
        <v>6</v>
      </c>
      <c r="U11" s="3">
        <f>L11*Criterios_Match!$C$11</f>
        <v>1.6</v>
      </c>
      <c r="V11" s="3">
        <f>M11*Criterios_Match!$C$12</f>
        <v>5</v>
      </c>
      <c r="W11" s="3">
        <f t="shared" si="0"/>
        <v>78.180000000000007</v>
      </c>
      <c r="X11" s="3">
        <f t="shared" si="1"/>
        <v>10</v>
      </c>
      <c r="Y11" s="2" t="s">
        <v>308</v>
      </c>
      <c r="Z11" s="2" t="s">
        <v>313</v>
      </c>
      <c r="AA11" s="2" t="s">
        <v>310</v>
      </c>
      <c r="AB11" s="2" t="s">
        <v>311</v>
      </c>
      <c r="AC11" s="2" t="s">
        <v>312</v>
      </c>
    </row>
    <row r="12" spans="1:29" ht="30" customHeight="1">
      <c r="A12" s="2" t="s">
        <v>182</v>
      </c>
      <c r="B12" s="2" t="s">
        <v>183</v>
      </c>
      <c r="C12" s="2" t="s">
        <v>101</v>
      </c>
      <c r="D12" s="2" t="s">
        <v>102</v>
      </c>
      <c r="E12" s="3">
        <v>0.27</v>
      </c>
      <c r="F12" s="3">
        <v>0</v>
      </c>
      <c r="G12" s="3">
        <v>1</v>
      </c>
      <c r="H12" s="3">
        <v>0.82</v>
      </c>
      <c r="I12" s="3">
        <v>0.75</v>
      </c>
      <c r="J12" s="3">
        <v>0.9</v>
      </c>
      <c r="K12" s="3">
        <v>0.96</v>
      </c>
      <c r="L12" s="3">
        <v>1</v>
      </c>
      <c r="M12" s="3">
        <v>1</v>
      </c>
      <c r="N12" s="3">
        <v>7.41</v>
      </c>
      <c r="O12" s="3">
        <f>E12*Criterios_Match!$C$5</f>
        <v>8.1000000000000014</v>
      </c>
      <c r="P12" s="3">
        <f>G12*Criterios_Match!$C$6</f>
        <v>18</v>
      </c>
      <c r="Q12" s="3">
        <f>H12*Criterios_Match!$C$7</f>
        <v>11.479999999999999</v>
      </c>
      <c r="R12" s="3">
        <f>I12*Criterios_Match!$C$8</f>
        <v>10.5</v>
      </c>
      <c r="S12" s="3">
        <f>J12*Criterios_Match!$C$9</f>
        <v>8.1</v>
      </c>
      <c r="T12" s="3">
        <f>K12*Criterios_Match!$C$10</f>
        <v>5.76</v>
      </c>
      <c r="U12" s="3">
        <f>L12*Criterios_Match!$C$11</f>
        <v>4</v>
      </c>
      <c r="V12" s="3">
        <f>M12*Criterios_Match!$C$12</f>
        <v>5</v>
      </c>
      <c r="W12" s="3">
        <f t="shared" si="0"/>
        <v>78.349999999999994</v>
      </c>
      <c r="X12" s="3">
        <f t="shared" si="1"/>
        <v>9</v>
      </c>
      <c r="Y12" s="2" t="s">
        <v>308</v>
      </c>
      <c r="Z12" s="2" t="s">
        <v>309</v>
      </c>
      <c r="AA12" s="2" t="s">
        <v>310</v>
      </c>
      <c r="AB12" s="2" t="s">
        <v>311</v>
      </c>
      <c r="AC12" s="2" t="s">
        <v>312</v>
      </c>
    </row>
    <row r="13" spans="1:29" ht="30" customHeight="1">
      <c r="A13" s="2" t="s">
        <v>182</v>
      </c>
      <c r="B13" s="2" t="s">
        <v>183</v>
      </c>
      <c r="C13" s="2" t="s">
        <v>106</v>
      </c>
      <c r="D13" s="2" t="s">
        <v>107</v>
      </c>
      <c r="E13" s="3">
        <v>0.05</v>
      </c>
      <c r="F13" s="3">
        <v>0</v>
      </c>
      <c r="G13" s="3">
        <v>0.35</v>
      </c>
      <c r="H13" s="3">
        <v>0.94</v>
      </c>
      <c r="I13" s="3">
        <v>0.7</v>
      </c>
      <c r="J13" s="3">
        <v>0.25</v>
      </c>
      <c r="K13" s="3">
        <v>1</v>
      </c>
      <c r="L13" s="3">
        <v>0.4</v>
      </c>
      <c r="M13" s="3">
        <v>0.95</v>
      </c>
      <c r="N13" s="3">
        <v>5.67</v>
      </c>
      <c r="O13" s="3">
        <f>E13*Criterios_Match!$C$5</f>
        <v>1.5</v>
      </c>
      <c r="P13" s="3">
        <f>G13*Criterios_Match!$C$6</f>
        <v>6.3</v>
      </c>
      <c r="Q13" s="3">
        <f>H13*Criterios_Match!$C$7</f>
        <v>13.16</v>
      </c>
      <c r="R13" s="3">
        <f>I13*Criterios_Match!$C$8</f>
        <v>9.7999999999999989</v>
      </c>
      <c r="S13" s="3">
        <f>J13*Criterios_Match!$C$9</f>
        <v>2.25</v>
      </c>
      <c r="T13" s="3">
        <f>K13*Criterios_Match!$C$10</f>
        <v>6</v>
      </c>
      <c r="U13" s="3">
        <f>L13*Criterios_Match!$C$11</f>
        <v>1.6</v>
      </c>
      <c r="V13" s="3">
        <f>M13*Criterios_Match!$C$12</f>
        <v>4.75</v>
      </c>
      <c r="W13" s="3">
        <f t="shared" si="0"/>
        <v>51.03</v>
      </c>
      <c r="X13" s="3">
        <f t="shared" si="1"/>
        <v>20</v>
      </c>
      <c r="Y13" s="2" t="s">
        <v>308</v>
      </c>
      <c r="Z13" s="2" t="s">
        <v>311</v>
      </c>
      <c r="AA13" s="2" t="s">
        <v>314</v>
      </c>
      <c r="AB13" s="2"/>
      <c r="AC13" s="2" t="s">
        <v>312</v>
      </c>
    </row>
    <row r="14" spans="1:29" ht="30" customHeight="1">
      <c r="A14" s="2" t="s">
        <v>182</v>
      </c>
      <c r="B14" s="2" t="s">
        <v>183</v>
      </c>
      <c r="C14" s="2" t="s">
        <v>115</v>
      </c>
      <c r="D14" s="2" t="s">
        <v>116</v>
      </c>
      <c r="E14" s="3">
        <v>0.53</v>
      </c>
      <c r="F14" s="3">
        <v>0</v>
      </c>
      <c r="G14" s="3">
        <v>1</v>
      </c>
      <c r="H14" s="3">
        <v>0.85</v>
      </c>
      <c r="I14" s="3">
        <v>0.75</v>
      </c>
      <c r="J14" s="3">
        <v>1</v>
      </c>
      <c r="K14" s="3">
        <v>0.99</v>
      </c>
      <c r="L14" s="3">
        <v>1</v>
      </c>
      <c r="M14" s="3">
        <v>1</v>
      </c>
      <c r="N14" s="3">
        <v>7.8</v>
      </c>
      <c r="O14" s="3">
        <f>E14*Criterios_Match!$C$5</f>
        <v>15.9</v>
      </c>
      <c r="P14" s="3">
        <f>G14*Criterios_Match!$C$6</f>
        <v>18</v>
      </c>
      <c r="Q14" s="3">
        <f>H14*Criterios_Match!$C$7</f>
        <v>11.9</v>
      </c>
      <c r="R14" s="3">
        <f>I14*Criterios_Match!$C$8</f>
        <v>10.5</v>
      </c>
      <c r="S14" s="3">
        <f>J14*Criterios_Match!$C$9</f>
        <v>9</v>
      </c>
      <c r="T14" s="3">
        <f>K14*Criterios_Match!$C$10</f>
        <v>5.9399999999999995</v>
      </c>
      <c r="U14" s="3">
        <f>L14*Criterios_Match!$C$11</f>
        <v>4</v>
      </c>
      <c r="V14" s="3">
        <f>M14*Criterios_Match!$C$12</f>
        <v>5</v>
      </c>
      <c r="W14" s="3">
        <f t="shared" si="0"/>
        <v>88.04</v>
      </c>
      <c r="X14" s="3">
        <f t="shared" si="1"/>
        <v>3</v>
      </c>
      <c r="Y14" s="2" t="s">
        <v>308</v>
      </c>
      <c r="Z14" s="2" t="s">
        <v>313</v>
      </c>
      <c r="AA14" s="2" t="s">
        <v>309</v>
      </c>
      <c r="AB14" s="2" t="s">
        <v>310</v>
      </c>
      <c r="AC14" s="2" t="s">
        <v>312</v>
      </c>
    </row>
    <row r="15" spans="1:29" ht="30" customHeight="1">
      <c r="A15" s="2" t="s">
        <v>182</v>
      </c>
      <c r="B15" s="2" t="s">
        <v>183</v>
      </c>
      <c r="C15" s="2" t="s">
        <v>119</v>
      </c>
      <c r="D15" s="2" t="s">
        <v>120</v>
      </c>
      <c r="E15" s="3">
        <v>0.48</v>
      </c>
      <c r="F15" s="3">
        <v>0</v>
      </c>
      <c r="G15" s="3">
        <v>0.75</v>
      </c>
      <c r="H15" s="3">
        <v>0.94</v>
      </c>
      <c r="I15" s="3">
        <v>0.75</v>
      </c>
      <c r="J15" s="3">
        <v>0.9</v>
      </c>
      <c r="K15" s="3">
        <v>0.9</v>
      </c>
      <c r="L15" s="3">
        <v>1</v>
      </c>
      <c r="M15" s="3">
        <v>1</v>
      </c>
      <c r="N15" s="3">
        <v>7.77</v>
      </c>
      <c r="O15" s="3">
        <f>E15*Criterios_Match!$C$5</f>
        <v>14.399999999999999</v>
      </c>
      <c r="P15" s="3">
        <f>G15*Criterios_Match!$C$6</f>
        <v>13.5</v>
      </c>
      <c r="Q15" s="3">
        <f>H15*Criterios_Match!$C$7</f>
        <v>13.16</v>
      </c>
      <c r="R15" s="3">
        <f>I15*Criterios_Match!$C$8</f>
        <v>10.5</v>
      </c>
      <c r="S15" s="3">
        <f>J15*Criterios_Match!$C$9</f>
        <v>8.1</v>
      </c>
      <c r="T15" s="3">
        <f>K15*Criterios_Match!$C$10</f>
        <v>5.4</v>
      </c>
      <c r="U15" s="3">
        <f>L15*Criterios_Match!$C$11</f>
        <v>4</v>
      </c>
      <c r="V15" s="3">
        <f>M15*Criterios_Match!$C$12</f>
        <v>5</v>
      </c>
      <c r="W15" s="3">
        <f t="shared" si="0"/>
        <v>81.83</v>
      </c>
      <c r="X15" s="3">
        <f t="shared" si="1"/>
        <v>7</v>
      </c>
      <c r="Y15" s="2" t="s">
        <v>308</v>
      </c>
      <c r="Z15" s="2" t="s">
        <v>313</v>
      </c>
      <c r="AA15" s="2" t="s">
        <v>309</v>
      </c>
      <c r="AB15" s="2" t="s">
        <v>310</v>
      </c>
      <c r="AC15" s="2" t="s">
        <v>312</v>
      </c>
    </row>
    <row r="16" spans="1:29" ht="30" customHeight="1">
      <c r="A16" s="2" t="s">
        <v>182</v>
      </c>
      <c r="B16" s="2" t="s">
        <v>183</v>
      </c>
      <c r="C16" s="2" t="s">
        <v>126</v>
      </c>
      <c r="D16" s="2" t="s">
        <v>127</v>
      </c>
      <c r="E16" s="3">
        <v>0.57999999999999996</v>
      </c>
      <c r="F16" s="3">
        <v>0.2</v>
      </c>
      <c r="G16" s="3">
        <v>0.75</v>
      </c>
      <c r="H16" s="3">
        <v>0.93</v>
      </c>
      <c r="I16" s="3">
        <v>0.7</v>
      </c>
      <c r="J16" s="3">
        <v>0.25</v>
      </c>
      <c r="K16" s="3">
        <v>1</v>
      </c>
      <c r="L16" s="3">
        <v>0.4</v>
      </c>
      <c r="M16" s="3">
        <v>1</v>
      </c>
      <c r="N16" s="3">
        <v>5.64</v>
      </c>
      <c r="O16" s="3">
        <f>E16*Criterios_Match!$C$5</f>
        <v>17.399999999999999</v>
      </c>
      <c r="P16" s="3">
        <f>G16*Criterios_Match!$C$6</f>
        <v>13.5</v>
      </c>
      <c r="Q16" s="3">
        <f>H16*Criterios_Match!$C$7</f>
        <v>13.020000000000001</v>
      </c>
      <c r="R16" s="3">
        <f>I16*Criterios_Match!$C$8</f>
        <v>9.7999999999999989</v>
      </c>
      <c r="S16" s="3">
        <f>J16*Criterios_Match!$C$9</f>
        <v>2.25</v>
      </c>
      <c r="T16" s="3">
        <f>K16*Criterios_Match!$C$10</f>
        <v>6</v>
      </c>
      <c r="U16" s="3">
        <f>L16*Criterios_Match!$C$11</f>
        <v>1.6</v>
      </c>
      <c r="V16" s="3">
        <f>M16*Criterios_Match!$C$12</f>
        <v>5</v>
      </c>
      <c r="W16" s="3">
        <f t="shared" si="0"/>
        <v>74.209999999999994</v>
      </c>
      <c r="X16" s="3">
        <f t="shared" si="1"/>
        <v>12</v>
      </c>
      <c r="Y16" s="2" t="s">
        <v>308</v>
      </c>
      <c r="Z16" s="2" t="s">
        <v>313</v>
      </c>
      <c r="AA16" s="2" t="s">
        <v>310</v>
      </c>
      <c r="AB16" s="2" t="s">
        <v>311</v>
      </c>
      <c r="AC16" s="2" t="s">
        <v>312</v>
      </c>
    </row>
    <row r="17" spans="1:29" ht="30" customHeight="1">
      <c r="A17" s="2" t="s">
        <v>182</v>
      </c>
      <c r="B17" s="2" t="s">
        <v>183</v>
      </c>
      <c r="C17" s="2" t="s">
        <v>133</v>
      </c>
      <c r="D17" s="2" t="s">
        <v>134</v>
      </c>
      <c r="E17" s="3">
        <v>0.2</v>
      </c>
      <c r="F17" s="3">
        <v>0</v>
      </c>
      <c r="G17" s="3">
        <v>1</v>
      </c>
      <c r="H17" s="3">
        <v>0.85</v>
      </c>
      <c r="I17" s="3">
        <v>0.95</v>
      </c>
      <c r="J17" s="3">
        <v>1</v>
      </c>
      <c r="K17" s="3">
        <v>0.93</v>
      </c>
      <c r="L17" s="3">
        <v>1</v>
      </c>
      <c r="M17" s="3">
        <v>0.95</v>
      </c>
      <c r="N17" s="3">
        <v>8.4</v>
      </c>
      <c r="O17" s="3">
        <f>E17*Criterios_Match!$C$5</f>
        <v>6</v>
      </c>
      <c r="P17" s="3">
        <f>G17*Criterios_Match!$C$6</f>
        <v>18</v>
      </c>
      <c r="Q17" s="3">
        <f>H17*Criterios_Match!$C$7</f>
        <v>11.9</v>
      </c>
      <c r="R17" s="3">
        <f>I17*Criterios_Match!$C$8</f>
        <v>13.299999999999999</v>
      </c>
      <c r="S17" s="3">
        <f>J17*Criterios_Match!$C$9</f>
        <v>9</v>
      </c>
      <c r="T17" s="3">
        <f>K17*Criterios_Match!$C$10</f>
        <v>5.58</v>
      </c>
      <c r="U17" s="3">
        <f>L17*Criterios_Match!$C$11</f>
        <v>4</v>
      </c>
      <c r="V17" s="3">
        <f>M17*Criterios_Match!$C$12</f>
        <v>4.75</v>
      </c>
      <c r="W17" s="3">
        <f t="shared" si="0"/>
        <v>80.930000000000007</v>
      </c>
      <c r="X17" s="3">
        <f t="shared" si="1"/>
        <v>8</v>
      </c>
      <c r="Y17" s="2" t="s">
        <v>308</v>
      </c>
      <c r="Z17" s="2" t="s">
        <v>309</v>
      </c>
      <c r="AA17" s="2" t="s">
        <v>310</v>
      </c>
      <c r="AB17" s="2" t="s">
        <v>311</v>
      </c>
      <c r="AC17" s="2" t="s">
        <v>312</v>
      </c>
    </row>
    <row r="18" spans="1:29" ht="30" customHeight="1">
      <c r="A18" s="2" t="s">
        <v>182</v>
      </c>
      <c r="B18" s="2" t="s">
        <v>183</v>
      </c>
      <c r="C18" s="2" t="s">
        <v>138</v>
      </c>
      <c r="D18" s="2" t="s">
        <v>139</v>
      </c>
      <c r="E18" s="3">
        <v>0.67</v>
      </c>
      <c r="F18" s="3">
        <v>0</v>
      </c>
      <c r="G18" s="3">
        <v>1</v>
      </c>
      <c r="H18" s="3">
        <v>0.96</v>
      </c>
      <c r="I18" s="3">
        <v>0.75</v>
      </c>
      <c r="J18" s="3">
        <v>1</v>
      </c>
      <c r="K18" s="3">
        <v>1</v>
      </c>
      <c r="L18" s="3">
        <v>1</v>
      </c>
      <c r="M18" s="3">
        <v>1</v>
      </c>
      <c r="N18" s="3">
        <v>8.1300000000000008</v>
      </c>
      <c r="O18" s="3">
        <f>E18*Criterios_Match!$C$5</f>
        <v>20.100000000000001</v>
      </c>
      <c r="P18" s="3">
        <f>G18*Criterios_Match!$C$6</f>
        <v>18</v>
      </c>
      <c r="Q18" s="3">
        <f>H18*Criterios_Match!$C$7</f>
        <v>13.44</v>
      </c>
      <c r="R18" s="3">
        <f>I18*Criterios_Match!$C$8</f>
        <v>10.5</v>
      </c>
      <c r="S18" s="3">
        <f>J18*Criterios_Match!$C$9</f>
        <v>9</v>
      </c>
      <c r="T18" s="3">
        <f>K18*Criterios_Match!$C$10</f>
        <v>6</v>
      </c>
      <c r="U18" s="3">
        <f>L18*Criterios_Match!$C$11</f>
        <v>4</v>
      </c>
      <c r="V18" s="3">
        <f>M18*Criterios_Match!$C$12</f>
        <v>5</v>
      </c>
      <c r="W18" s="3">
        <f t="shared" si="0"/>
        <v>94.17</v>
      </c>
      <c r="X18" s="3">
        <f t="shared" si="1"/>
        <v>1</v>
      </c>
      <c r="Y18" s="2" t="s">
        <v>308</v>
      </c>
      <c r="Z18" s="2" t="s">
        <v>313</v>
      </c>
      <c r="AA18" s="2" t="s">
        <v>309</v>
      </c>
      <c r="AB18" s="2" t="s">
        <v>310</v>
      </c>
      <c r="AC18" s="2" t="s">
        <v>312</v>
      </c>
    </row>
    <row r="19" spans="1:29" ht="30" customHeight="1">
      <c r="A19" s="2" t="s">
        <v>182</v>
      </c>
      <c r="B19" s="2" t="s">
        <v>183</v>
      </c>
      <c r="C19" s="2" t="s">
        <v>142</v>
      </c>
      <c r="D19" s="2" t="s">
        <v>143</v>
      </c>
      <c r="E19" s="3">
        <v>0.48</v>
      </c>
      <c r="F19" s="3">
        <v>0</v>
      </c>
      <c r="G19" s="3">
        <v>1</v>
      </c>
      <c r="H19" s="3">
        <v>0.99</v>
      </c>
      <c r="I19" s="3">
        <v>0.7</v>
      </c>
      <c r="J19" s="3">
        <v>0.25</v>
      </c>
      <c r="K19" s="3">
        <v>0.99</v>
      </c>
      <c r="L19" s="3">
        <v>0.4</v>
      </c>
      <c r="M19" s="3">
        <v>0.95</v>
      </c>
      <c r="N19" s="3">
        <v>5.82</v>
      </c>
      <c r="O19" s="3">
        <f>E19*Criterios_Match!$C$5</f>
        <v>14.399999999999999</v>
      </c>
      <c r="P19" s="3">
        <f>G19*Criterios_Match!$C$6</f>
        <v>18</v>
      </c>
      <c r="Q19" s="3">
        <f>H19*Criterios_Match!$C$7</f>
        <v>13.86</v>
      </c>
      <c r="R19" s="3">
        <f>I19*Criterios_Match!$C$8</f>
        <v>9.7999999999999989</v>
      </c>
      <c r="S19" s="3">
        <f>J19*Criterios_Match!$C$9</f>
        <v>2.25</v>
      </c>
      <c r="T19" s="3">
        <f>K19*Criterios_Match!$C$10</f>
        <v>5.9399999999999995</v>
      </c>
      <c r="U19" s="3">
        <f>L19*Criterios_Match!$C$11</f>
        <v>1.6</v>
      </c>
      <c r="V19" s="3">
        <f>M19*Criterios_Match!$C$12</f>
        <v>4.75</v>
      </c>
      <c r="W19" s="3">
        <f t="shared" si="0"/>
        <v>76.42</v>
      </c>
      <c r="X19" s="3">
        <f t="shared" si="1"/>
        <v>11</v>
      </c>
      <c r="Y19" s="2" t="s">
        <v>308</v>
      </c>
      <c r="Z19" s="2" t="s">
        <v>313</v>
      </c>
      <c r="AA19" s="2" t="s">
        <v>310</v>
      </c>
      <c r="AB19" s="2" t="s">
        <v>311</v>
      </c>
      <c r="AC19" s="2" t="s">
        <v>312</v>
      </c>
    </row>
    <row r="20" spans="1:29" ht="30" customHeight="1">
      <c r="A20" s="2" t="s">
        <v>182</v>
      </c>
      <c r="B20" s="2" t="s">
        <v>183</v>
      </c>
      <c r="C20" s="2" t="s">
        <v>146</v>
      </c>
      <c r="D20" s="2" t="s">
        <v>147</v>
      </c>
      <c r="E20" s="3">
        <v>0.5</v>
      </c>
      <c r="F20" s="3">
        <v>0</v>
      </c>
      <c r="G20" s="3">
        <v>0.35</v>
      </c>
      <c r="H20" s="3">
        <v>0.7</v>
      </c>
      <c r="I20" s="3">
        <v>0.95</v>
      </c>
      <c r="J20" s="3">
        <v>0.9</v>
      </c>
      <c r="K20" s="3">
        <v>0.72</v>
      </c>
      <c r="L20" s="3">
        <v>1</v>
      </c>
      <c r="M20" s="3">
        <v>0.95</v>
      </c>
      <c r="N20" s="3">
        <v>7.65</v>
      </c>
      <c r="O20" s="3">
        <f>E20*Criterios_Match!$C$5</f>
        <v>15</v>
      </c>
      <c r="P20" s="3">
        <f>G20*Criterios_Match!$C$6</f>
        <v>6.3</v>
      </c>
      <c r="Q20" s="3">
        <f>H20*Criterios_Match!$C$7</f>
        <v>9.7999999999999989</v>
      </c>
      <c r="R20" s="3">
        <f>I20*Criterios_Match!$C$8</f>
        <v>13.299999999999999</v>
      </c>
      <c r="S20" s="3">
        <f>J20*Criterios_Match!$C$9</f>
        <v>8.1</v>
      </c>
      <c r="T20" s="3">
        <f>K20*Criterios_Match!$C$10</f>
        <v>4.32</v>
      </c>
      <c r="U20" s="3">
        <f>L20*Criterios_Match!$C$11</f>
        <v>4</v>
      </c>
      <c r="V20" s="3">
        <f>M20*Criterios_Match!$C$12</f>
        <v>4.75</v>
      </c>
      <c r="W20" s="3">
        <f t="shared" si="0"/>
        <v>73.22</v>
      </c>
      <c r="X20" s="3">
        <f t="shared" si="1"/>
        <v>13</v>
      </c>
      <c r="Y20" s="2" t="s">
        <v>308</v>
      </c>
      <c r="Z20" s="2" t="s">
        <v>313</v>
      </c>
      <c r="AA20" s="2" t="s">
        <v>309</v>
      </c>
      <c r="AB20" s="2" t="s">
        <v>315</v>
      </c>
      <c r="AC20" s="2" t="s">
        <v>312</v>
      </c>
    </row>
    <row r="21" spans="1:29" ht="30" customHeight="1">
      <c r="A21" s="2" t="s">
        <v>182</v>
      </c>
      <c r="B21" s="2" t="s">
        <v>183</v>
      </c>
      <c r="C21" s="2" t="s">
        <v>149</v>
      </c>
      <c r="D21" s="2" t="s">
        <v>150</v>
      </c>
      <c r="E21" s="3">
        <v>0.2</v>
      </c>
      <c r="F21" s="3">
        <v>0</v>
      </c>
      <c r="G21" s="3">
        <v>0.35</v>
      </c>
      <c r="H21" s="3">
        <v>0.92</v>
      </c>
      <c r="I21" s="3">
        <v>0.95</v>
      </c>
      <c r="J21" s="3">
        <v>1</v>
      </c>
      <c r="K21" s="3">
        <v>1</v>
      </c>
      <c r="L21" s="3">
        <v>1</v>
      </c>
      <c r="M21" s="3">
        <v>0.95</v>
      </c>
      <c r="N21" s="3">
        <v>8.61</v>
      </c>
      <c r="O21" s="3">
        <f>E21*Criterios_Match!$C$5</f>
        <v>6</v>
      </c>
      <c r="P21" s="3">
        <f>G21*Criterios_Match!$C$6</f>
        <v>6.3</v>
      </c>
      <c r="Q21" s="3">
        <f>H21*Criterios_Match!$C$7</f>
        <v>12.88</v>
      </c>
      <c r="R21" s="3">
        <f>I21*Criterios_Match!$C$8</f>
        <v>13.299999999999999</v>
      </c>
      <c r="S21" s="3">
        <f>J21*Criterios_Match!$C$9</f>
        <v>9</v>
      </c>
      <c r="T21" s="3">
        <f>K21*Criterios_Match!$C$10</f>
        <v>6</v>
      </c>
      <c r="U21" s="3">
        <f>L21*Criterios_Match!$C$11</f>
        <v>4</v>
      </c>
      <c r="V21" s="3">
        <f>M21*Criterios_Match!$C$12</f>
        <v>4.75</v>
      </c>
      <c r="W21" s="3">
        <f t="shared" si="0"/>
        <v>70.84</v>
      </c>
      <c r="X21" s="3">
        <f t="shared" si="1"/>
        <v>17</v>
      </c>
      <c r="Y21" s="2" t="s">
        <v>308</v>
      </c>
      <c r="Z21" s="2" t="s">
        <v>309</v>
      </c>
      <c r="AA21" s="2" t="s">
        <v>311</v>
      </c>
      <c r="AB21" s="2" t="s">
        <v>315</v>
      </c>
      <c r="AC21" s="2" t="s">
        <v>312</v>
      </c>
    </row>
    <row r="22" spans="1:29" ht="30" customHeight="1">
      <c r="A22" s="2" t="s">
        <v>182</v>
      </c>
      <c r="B22" s="2" t="s">
        <v>183</v>
      </c>
      <c r="C22" s="2" t="s">
        <v>153</v>
      </c>
      <c r="D22" s="2" t="s">
        <v>154</v>
      </c>
      <c r="E22" s="3">
        <v>0.52</v>
      </c>
      <c r="F22" s="3">
        <v>0</v>
      </c>
      <c r="G22" s="3">
        <v>0.75</v>
      </c>
      <c r="H22" s="3">
        <v>0.9</v>
      </c>
      <c r="I22" s="3">
        <v>0.3</v>
      </c>
      <c r="J22" s="3">
        <v>0.9</v>
      </c>
      <c r="K22" s="3">
        <v>0.9</v>
      </c>
      <c r="L22" s="3">
        <v>0.4</v>
      </c>
      <c r="M22" s="3">
        <v>1</v>
      </c>
      <c r="N22" s="3">
        <v>6.3</v>
      </c>
      <c r="O22" s="3">
        <f>E22*Criterios_Match!$C$5</f>
        <v>15.600000000000001</v>
      </c>
      <c r="P22" s="3">
        <f>G22*Criterios_Match!$C$6</f>
        <v>13.5</v>
      </c>
      <c r="Q22" s="3">
        <f>H22*Criterios_Match!$C$7</f>
        <v>12.6</v>
      </c>
      <c r="R22" s="3">
        <f>I22*Criterios_Match!$C$8</f>
        <v>4.2</v>
      </c>
      <c r="S22" s="3">
        <f>J22*Criterios_Match!$C$9</f>
        <v>8.1</v>
      </c>
      <c r="T22" s="3">
        <f>K22*Criterios_Match!$C$10</f>
        <v>5.4</v>
      </c>
      <c r="U22" s="3">
        <f>L22*Criterios_Match!$C$11</f>
        <v>1.6</v>
      </c>
      <c r="V22" s="3">
        <f>M22*Criterios_Match!$C$12</f>
        <v>5</v>
      </c>
      <c r="W22" s="3">
        <f t="shared" si="0"/>
        <v>72.3</v>
      </c>
      <c r="X22" s="3">
        <f t="shared" si="1"/>
        <v>14</v>
      </c>
      <c r="Y22" s="2" t="s">
        <v>308</v>
      </c>
      <c r="Z22" s="2" t="s">
        <v>313</v>
      </c>
      <c r="AA22" s="2" t="s">
        <v>309</v>
      </c>
      <c r="AB22" s="2" t="s">
        <v>310</v>
      </c>
      <c r="AC22" s="2" t="s">
        <v>312</v>
      </c>
    </row>
    <row r="23" spans="1:29" ht="30" customHeight="1">
      <c r="A23" s="2" t="s">
        <v>182</v>
      </c>
      <c r="B23" s="2" t="s">
        <v>183</v>
      </c>
      <c r="C23" s="2" t="s">
        <v>158</v>
      </c>
      <c r="D23" s="2" t="s">
        <v>159</v>
      </c>
      <c r="E23" s="3">
        <v>0.67</v>
      </c>
      <c r="F23" s="3">
        <v>0</v>
      </c>
      <c r="G23" s="3">
        <v>1</v>
      </c>
      <c r="H23" s="3">
        <v>0.94</v>
      </c>
      <c r="I23" s="3">
        <v>0.75</v>
      </c>
      <c r="J23" s="3">
        <v>0.25</v>
      </c>
      <c r="K23" s="3">
        <v>0.96</v>
      </c>
      <c r="L23" s="3">
        <v>1</v>
      </c>
      <c r="M23" s="3">
        <v>1</v>
      </c>
      <c r="N23" s="3">
        <v>5.82</v>
      </c>
      <c r="O23" s="3">
        <f>E23*Criterios_Match!$C$5</f>
        <v>20.100000000000001</v>
      </c>
      <c r="P23" s="3">
        <f>G23*Criterios_Match!$C$6</f>
        <v>18</v>
      </c>
      <c r="Q23" s="3">
        <f>H23*Criterios_Match!$C$7</f>
        <v>13.16</v>
      </c>
      <c r="R23" s="3">
        <f>I23*Criterios_Match!$C$8</f>
        <v>10.5</v>
      </c>
      <c r="S23" s="3">
        <f>J23*Criterios_Match!$C$9</f>
        <v>2.25</v>
      </c>
      <c r="T23" s="3">
        <f>K23*Criterios_Match!$C$10</f>
        <v>5.76</v>
      </c>
      <c r="U23" s="3">
        <f>L23*Criterios_Match!$C$11</f>
        <v>4</v>
      </c>
      <c r="V23" s="3">
        <f>M23*Criterios_Match!$C$12</f>
        <v>5</v>
      </c>
      <c r="W23" s="3">
        <f t="shared" si="0"/>
        <v>84.59</v>
      </c>
      <c r="X23" s="3">
        <f t="shared" si="1"/>
        <v>4</v>
      </c>
      <c r="Y23" s="2" t="s">
        <v>308</v>
      </c>
      <c r="Z23" s="2" t="s">
        <v>313</v>
      </c>
      <c r="AA23" s="2" t="s">
        <v>310</v>
      </c>
      <c r="AB23" s="2" t="s">
        <v>311</v>
      </c>
      <c r="AC23" s="2" t="s">
        <v>312</v>
      </c>
    </row>
    <row r="24" spans="1:29" ht="30" customHeight="1">
      <c r="A24" s="2" t="s">
        <v>182</v>
      </c>
      <c r="B24" s="2" t="s">
        <v>183</v>
      </c>
      <c r="C24" s="2" t="s">
        <v>162</v>
      </c>
      <c r="D24" s="2" t="s">
        <v>163</v>
      </c>
      <c r="E24" s="3">
        <v>0.25</v>
      </c>
      <c r="F24" s="3">
        <v>0</v>
      </c>
      <c r="G24" s="3">
        <v>0.75</v>
      </c>
      <c r="H24" s="3">
        <v>0.94</v>
      </c>
      <c r="I24" s="3">
        <v>0.7</v>
      </c>
      <c r="J24" s="3">
        <v>0.9</v>
      </c>
      <c r="K24" s="3">
        <v>1</v>
      </c>
      <c r="L24" s="3">
        <v>0.4</v>
      </c>
      <c r="M24" s="3">
        <v>0.95</v>
      </c>
      <c r="N24" s="3">
        <v>7.62</v>
      </c>
      <c r="O24" s="3">
        <f>E24*Criterios_Match!$C$5</f>
        <v>7.5</v>
      </c>
      <c r="P24" s="3">
        <f>G24*Criterios_Match!$C$6</f>
        <v>13.5</v>
      </c>
      <c r="Q24" s="3">
        <f>H24*Criterios_Match!$C$7</f>
        <v>13.16</v>
      </c>
      <c r="R24" s="3">
        <f>I24*Criterios_Match!$C$8</f>
        <v>9.7999999999999989</v>
      </c>
      <c r="S24" s="3">
        <f>J24*Criterios_Match!$C$9</f>
        <v>8.1</v>
      </c>
      <c r="T24" s="3">
        <f>K24*Criterios_Match!$C$10</f>
        <v>6</v>
      </c>
      <c r="U24" s="3">
        <f>L24*Criterios_Match!$C$11</f>
        <v>1.6</v>
      </c>
      <c r="V24" s="3">
        <f>M24*Criterios_Match!$C$12</f>
        <v>4.75</v>
      </c>
      <c r="W24" s="3">
        <f t="shared" si="0"/>
        <v>72.03</v>
      </c>
      <c r="X24" s="3">
        <f t="shared" si="1"/>
        <v>15</v>
      </c>
      <c r="Y24" s="2" t="s">
        <v>308</v>
      </c>
      <c r="Z24" s="2" t="s">
        <v>309</v>
      </c>
      <c r="AA24" s="2" t="s">
        <v>310</v>
      </c>
      <c r="AB24" s="2" t="s">
        <v>311</v>
      </c>
      <c r="AC24" s="2" t="s">
        <v>312</v>
      </c>
    </row>
    <row r="25" spans="1:29" ht="30" customHeight="1">
      <c r="A25" s="2" t="s">
        <v>191</v>
      </c>
      <c r="B25" s="2" t="s">
        <v>192</v>
      </c>
      <c r="C25" s="2" t="s">
        <v>41</v>
      </c>
      <c r="D25" s="2" t="s">
        <v>42</v>
      </c>
      <c r="E25" s="3">
        <v>0.82</v>
      </c>
      <c r="F25" s="3">
        <v>0.45</v>
      </c>
      <c r="G25" s="3">
        <v>0.75</v>
      </c>
      <c r="H25" s="3">
        <v>1</v>
      </c>
      <c r="I25" s="3">
        <v>0.91</v>
      </c>
      <c r="J25" s="3">
        <v>0.25</v>
      </c>
      <c r="K25" s="3">
        <v>1</v>
      </c>
      <c r="L25" s="3">
        <v>1</v>
      </c>
      <c r="M25" s="3">
        <v>1</v>
      </c>
      <c r="N25" s="3">
        <v>4.25</v>
      </c>
      <c r="O25" s="3">
        <f>E25*Criterios_Match!$C$5</f>
        <v>24.599999999999998</v>
      </c>
      <c r="P25" s="3">
        <f>G25*Criterios_Match!$C$6</f>
        <v>13.5</v>
      </c>
      <c r="Q25" s="3">
        <f>H25*Criterios_Match!$C$7</f>
        <v>14</v>
      </c>
      <c r="R25" s="3">
        <f>I25*Criterios_Match!$C$8</f>
        <v>12.74</v>
      </c>
      <c r="S25" s="3">
        <f>J25*Criterios_Match!$C$9</f>
        <v>2.25</v>
      </c>
      <c r="T25" s="3">
        <f>K25*Criterios_Match!$C$10</f>
        <v>6</v>
      </c>
      <c r="U25" s="3">
        <f>L25*Criterios_Match!$C$11</f>
        <v>4</v>
      </c>
      <c r="V25" s="3">
        <f>M25*Criterios_Match!$C$12</f>
        <v>5</v>
      </c>
      <c r="W25" s="3">
        <f t="shared" si="0"/>
        <v>86.34</v>
      </c>
      <c r="X25" s="3">
        <f t="shared" si="1"/>
        <v>3</v>
      </c>
      <c r="Y25" s="2" t="s">
        <v>316</v>
      </c>
      <c r="Z25" s="2" t="s">
        <v>317</v>
      </c>
      <c r="AA25" s="2" t="s">
        <v>310</v>
      </c>
      <c r="AB25" s="2" t="s">
        <v>314</v>
      </c>
      <c r="AC25" s="2" t="s">
        <v>318</v>
      </c>
    </row>
    <row r="26" spans="1:29" ht="57">
      <c r="A26" s="2" t="s">
        <v>191</v>
      </c>
      <c r="B26" s="2" t="s">
        <v>192</v>
      </c>
      <c r="C26" s="2" t="s">
        <v>51</v>
      </c>
      <c r="D26" s="2" t="s">
        <v>52</v>
      </c>
      <c r="E26" s="3">
        <v>0</v>
      </c>
      <c r="F26" s="3">
        <v>0</v>
      </c>
      <c r="G26" s="3">
        <v>0.75</v>
      </c>
      <c r="H26" s="3">
        <v>0.91</v>
      </c>
      <c r="I26" s="3">
        <v>0.98</v>
      </c>
      <c r="J26" s="3">
        <v>0.25</v>
      </c>
      <c r="K26" s="3">
        <v>0.9</v>
      </c>
      <c r="L26" s="3">
        <v>0.9</v>
      </c>
      <c r="M26" s="3">
        <v>0.95</v>
      </c>
      <c r="N26" s="3">
        <v>4.05</v>
      </c>
      <c r="O26" s="3">
        <f>E26*Criterios_Match!$C$5</f>
        <v>0</v>
      </c>
      <c r="P26" s="3">
        <f>G26*Criterios_Match!$C$6</f>
        <v>13.5</v>
      </c>
      <c r="Q26" s="3">
        <f>H26*Criterios_Match!$C$7</f>
        <v>12.74</v>
      </c>
      <c r="R26" s="3">
        <f>I26*Criterios_Match!$C$8</f>
        <v>13.719999999999999</v>
      </c>
      <c r="S26" s="3">
        <f>J26*Criterios_Match!$C$9</f>
        <v>2.25</v>
      </c>
      <c r="T26" s="3">
        <f>K26*Criterios_Match!$C$10</f>
        <v>5.4</v>
      </c>
      <c r="U26" s="3">
        <f>L26*Criterios_Match!$C$11</f>
        <v>3.6</v>
      </c>
      <c r="V26" s="3">
        <f>M26*Criterios_Match!$C$12</f>
        <v>4.75</v>
      </c>
      <c r="W26" s="3">
        <f t="shared" si="0"/>
        <v>60.01</v>
      </c>
      <c r="X26" s="3">
        <f t="shared" si="1"/>
        <v>17</v>
      </c>
      <c r="Y26" s="2" t="s">
        <v>308</v>
      </c>
      <c r="Z26" s="2" t="s">
        <v>310</v>
      </c>
      <c r="AA26" s="2" t="s">
        <v>314</v>
      </c>
      <c r="AB26" s="2"/>
      <c r="AC26" s="2" t="s">
        <v>319</v>
      </c>
    </row>
    <row r="27" spans="1:29" ht="57">
      <c r="A27" s="2" t="s">
        <v>191</v>
      </c>
      <c r="B27" s="2" t="s">
        <v>192</v>
      </c>
      <c r="C27" s="2" t="s">
        <v>62</v>
      </c>
      <c r="D27" s="2" t="s">
        <v>63</v>
      </c>
      <c r="E27" s="3">
        <v>0.38</v>
      </c>
      <c r="F27" s="3">
        <v>0</v>
      </c>
      <c r="G27" s="3">
        <v>1</v>
      </c>
      <c r="H27" s="3">
        <v>0.99</v>
      </c>
      <c r="I27" s="3">
        <v>0.98</v>
      </c>
      <c r="J27" s="3">
        <v>0.25</v>
      </c>
      <c r="K27" s="3">
        <v>1</v>
      </c>
      <c r="L27" s="3">
        <v>0.85</v>
      </c>
      <c r="M27" s="3">
        <v>0.95</v>
      </c>
      <c r="N27" s="3">
        <v>4.25</v>
      </c>
      <c r="O27" s="3">
        <f>E27*Criterios_Match!$C$5</f>
        <v>11.4</v>
      </c>
      <c r="P27" s="3">
        <f>G27*Criterios_Match!$C$6</f>
        <v>18</v>
      </c>
      <c r="Q27" s="3">
        <f>H27*Criterios_Match!$C$7</f>
        <v>13.86</v>
      </c>
      <c r="R27" s="3">
        <f>I27*Criterios_Match!$C$8</f>
        <v>13.719999999999999</v>
      </c>
      <c r="S27" s="3">
        <f>J27*Criterios_Match!$C$9</f>
        <v>2.25</v>
      </c>
      <c r="T27" s="3">
        <f>K27*Criterios_Match!$C$10</f>
        <v>6</v>
      </c>
      <c r="U27" s="3">
        <f>L27*Criterios_Match!$C$11</f>
        <v>3.4</v>
      </c>
      <c r="V27" s="3">
        <f>M27*Criterios_Match!$C$12</f>
        <v>4.75</v>
      </c>
      <c r="W27" s="3">
        <f t="shared" si="0"/>
        <v>77.63</v>
      </c>
      <c r="X27" s="3">
        <f t="shared" si="1"/>
        <v>10</v>
      </c>
      <c r="Y27" s="2" t="s">
        <v>308</v>
      </c>
      <c r="Z27" s="2" t="s">
        <v>310</v>
      </c>
      <c r="AA27" s="2" t="s">
        <v>314</v>
      </c>
      <c r="AB27" s="2"/>
      <c r="AC27" s="2" t="s">
        <v>319</v>
      </c>
    </row>
    <row r="28" spans="1:29" ht="57">
      <c r="A28" s="2" t="s">
        <v>191</v>
      </c>
      <c r="B28" s="2" t="s">
        <v>192</v>
      </c>
      <c r="C28" s="2" t="s">
        <v>71</v>
      </c>
      <c r="D28" s="2" t="s">
        <v>72</v>
      </c>
      <c r="E28" s="3">
        <v>0.27</v>
      </c>
      <c r="F28" s="3">
        <v>0</v>
      </c>
      <c r="G28" s="3">
        <v>0.05</v>
      </c>
      <c r="H28" s="3">
        <v>0.95</v>
      </c>
      <c r="I28" s="3">
        <v>0.84</v>
      </c>
      <c r="J28" s="3">
        <v>0.25</v>
      </c>
      <c r="K28" s="3">
        <v>0.75</v>
      </c>
      <c r="L28" s="3">
        <v>0.85</v>
      </c>
      <c r="M28" s="3">
        <v>1</v>
      </c>
      <c r="N28" s="3">
        <v>3.75</v>
      </c>
      <c r="O28" s="3">
        <f>E28*Criterios_Match!$C$5</f>
        <v>8.1000000000000014</v>
      </c>
      <c r="P28" s="3">
        <f>G28*Criterios_Match!$C$6</f>
        <v>0.9</v>
      </c>
      <c r="Q28" s="3">
        <f>H28*Criterios_Match!$C$7</f>
        <v>13.299999999999999</v>
      </c>
      <c r="R28" s="3">
        <f>I28*Criterios_Match!$C$8</f>
        <v>11.76</v>
      </c>
      <c r="S28" s="3">
        <f>J28*Criterios_Match!$C$9</f>
        <v>2.25</v>
      </c>
      <c r="T28" s="3">
        <f>K28*Criterios_Match!$C$10</f>
        <v>4.5</v>
      </c>
      <c r="U28" s="3">
        <f>L28*Criterios_Match!$C$11</f>
        <v>3.4</v>
      </c>
      <c r="V28" s="3">
        <f>M28*Criterios_Match!$C$12</f>
        <v>5</v>
      </c>
      <c r="W28" s="3">
        <f t="shared" si="0"/>
        <v>52.96</v>
      </c>
      <c r="X28" s="3">
        <f t="shared" si="1"/>
        <v>18</v>
      </c>
      <c r="Y28" s="2" t="s">
        <v>308</v>
      </c>
      <c r="Z28" s="2" t="s">
        <v>320</v>
      </c>
      <c r="AA28" s="2"/>
      <c r="AB28" s="2"/>
      <c r="AC28" s="2" t="s">
        <v>319</v>
      </c>
    </row>
    <row r="29" spans="1:29" ht="57">
      <c r="A29" s="2" t="s">
        <v>191</v>
      </c>
      <c r="B29" s="2" t="s">
        <v>192</v>
      </c>
      <c r="C29" s="2" t="s">
        <v>81</v>
      </c>
      <c r="D29" s="2" t="s">
        <v>82</v>
      </c>
      <c r="E29" s="3">
        <v>0.75</v>
      </c>
      <c r="F29" s="3">
        <v>0.25</v>
      </c>
      <c r="G29" s="3">
        <v>1</v>
      </c>
      <c r="H29" s="3">
        <v>0.94</v>
      </c>
      <c r="I29" s="3">
        <v>0.98</v>
      </c>
      <c r="J29" s="3">
        <v>0.25</v>
      </c>
      <c r="K29" s="3">
        <v>0.9</v>
      </c>
      <c r="L29" s="3">
        <v>0.95</v>
      </c>
      <c r="M29" s="3">
        <v>0.85</v>
      </c>
      <c r="N29" s="3">
        <v>4.05</v>
      </c>
      <c r="O29" s="3">
        <f>E29*Criterios_Match!$C$5</f>
        <v>22.5</v>
      </c>
      <c r="P29" s="3">
        <f>G29*Criterios_Match!$C$6</f>
        <v>18</v>
      </c>
      <c r="Q29" s="3">
        <f>H29*Criterios_Match!$C$7</f>
        <v>13.16</v>
      </c>
      <c r="R29" s="3">
        <f>I29*Criterios_Match!$C$8</f>
        <v>13.719999999999999</v>
      </c>
      <c r="S29" s="3">
        <f>J29*Criterios_Match!$C$9</f>
        <v>2.25</v>
      </c>
      <c r="T29" s="3">
        <f>K29*Criterios_Match!$C$10</f>
        <v>5.4</v>
      </c>
      <c r="U29" s="3">
        <f>L29*Criterios_Match!$C$11</f>
        <v>3.8</v>
      </c>
      <c r="V29" s="3">
        <f>M29*Criterios_Match!$C$12</f>
        <v>4.25</v>
      </c>
      <c r="W29" s="3">
        <f t="shared" si="0"/>
        <v>87.13</v>
      </c>
      <c r="X29" s="3">
        <f t="shared" si="1"/>
        <v>2</v>
      </c>
      <c r="Y29" s="2" t="s">
        <v>321</v>
      </c>
      <c r="Z29" s="2" t="s">
        <v>317</v>
      </c>
      <c r="AA29" s="2" t="s">
        <v>310</v>
      </c>
      <c r="AB29" s="2" t="s">
        <v>314</v>
      </c>
      <c r="AC29" s="2" t="s">
        <v>319</v>
      </c>
    </row>
    <row r="30" spans="1:29" ht="57">
      <c r="A30" s="2" t="s">
        <v>191</v>
      </c>
      <c r="B30" s="2" t="s">
        <v>192</v>
      </c>
      <c r="C30" s="2" t="s">
        <v>87</v>
      </c>
      <c r="D30" s="2" t="s">
        <v>88</v>
      </c>
      <c r="E30" s="3">
        <v>0</v>
      </c>
      <c r="F30" s="3">
        <v>0</v>
      </c>
      <c r="G30" s="3">
        <v>0.35</v>
      </c>
      <c r="H30" s="3">
        <v>0.86</v>
      </c>
      <c r="I30" s="3">
        <v>0.98</v>
      </c>
      <c r="J30" s="3">
        <v>0.25</v>
      </c>
      <c r="K30" s="3">
        <v>0.6</v>
      </c>
      <c r="L30" s="3">
        <v>0.9</v>
      </c>
      <c r="M30" s="3">
        <v>0.95</v>
      </c>
      <c r="N30" s="3">
        <v>3.45</v>
      </c>
      <c r="O30" s="3">
        <f>E30*Criterios_Match!$C$5</f>
        <v>0</v>
      </c>
      <c r="P30" s="3">
        <f>G30*Criterios_Match!$C$6</f>
        <v>6.3</v>
      </c>
      <c r="Q30" s="3">
        <f>H30*Criterios_Match!$C$7</f>
        <v>12.04</v>
      </c>
      <c r="R30" s="3">
        <f>I30*Criterios_Match!$C$8</f>
        <v>13.719999999999999</v>
      </c>
      <c r="S30" s="3">
        <f>J30*Criterios_Match!$C$9</f>
        <v>2.25</v>
      </c>
      <c r="T30" s="3">
        <f>K30*Criterios_Match!$C$10</f>
        <v>3.5999999999999996</v>
      </c>
      <c r="U30" s="3">
        <f>L30*Criterios_Match!$C$11</f>
        <v>3.6</v>
      </c>
      <c r="V30" s="3">
        <f>M30*Criterios_Match!$C$12</f>
        <v>4.75</v>
      </c>
      <c r="W30" s="3">
        <f t="shared" si="0"/>
        <v>49.71</v>
      </c>
      <c r="X30" s="3">
        <f t="shared" si="1"/>
        <v>19</v>
      </c>
      <c r="Y30" s="2" t="s">
        <v>308</v>
      </c>
      <c r="Z30" s="2" t="s">
        <v>320</v>
      </c>
      <c r="AA30" s="2"/>
      <c r="AB30" s="2"/>
      <c r="AC30" s="2" t="s">
        <v>319</v>
      </c>
    </row>
    <row r="31" spans="1:29" ht="57">
      <c r="A31" s="2" t="s">
        <v>191</v>
      </c>
      <c r="B31" s="2" t="s">
        <v>192</v>
      </c>
      <c r="C31" s="2" t="s">
        <v>94</v>
      </c>
      <c r="D31" s="2" t="s">
        <v>95</v>
      </c>
      <c r="E31" s="3">
        <v>0.38</v>
      </c>
      <c r="F31" s="3">
        <v>0</v>
      </c>
      <c r="G31" s="3">
        <v>0.75</v>
      </c>
      <c r="H31" s="3">
        <v>0.97</v>
      </c>
      <c r="I31" s="3">
        <v>0.91</v>
      </c>
      <c r="J31" s="3">
        <v>1</v>
      </c>
      <c r="K31" s="3">
        <v>1</v>
      </c>
      <c r="L31" s="3">
        <v>0.85</v>
      </c>
      <c r="M31" s="3">
        <v>1</v>
      </c>
      <c r="N31" s="3">
        <v>6.5</v>
      </c>
      <c r="O31" s="3">
        <f>E31*Criterios_Match!$C$5</f>
        <v>11.4</v>
      </c>
      <c r="P31" s="3">
        <f>G31*Criterios_Match!$C$6</f>
        <v>13.5</v>
      </c>
      <c r="Q31" s="3">
        <f>H31*Criterios_Match!$C$7</f>
        <v>13.58</v>
      </c>
      <c r="R31" s="3">
        <f>I31*Criterios_Match!$C$8</f>
        <v>12.74</v>
      </c>
      <c r="S31" s="3">
        <f>J31*Criterios_Match!$C$9</f>
        <v>9</v>
      </c>
      <c r="T31" s="3">
        <f>K31*Criterios_Match!$C$10</f>
        <v>6</v>
      </c>
      <c r="U31" s="3">
        <f>L31*Criterios_Match!$C$11</f>
        <v>3.4</v>
      </c>
      <c r="V31" s="3">
        <f>M31*Criterios_Match!$C$12</f>
        <v>5</v>
      </c>
      <c r="W31" s="3">
        <f t="shared" si="0"/>
        <v>81.12</v>
      </c>
      <c r="X31" s="3">
        <f t="shared" si="1"/>
        <v>7</v>
      </c>
      <c r="Y31" s="2" t="s">
        <v>308</v>
      </c>
      <c r="Z31" s="2" t="s">
        <v>322</v>
      </c>
      <c r="AA31" s="2" t="s">
        <v>310</v>
      </c>
      <c r="AB31" s="2" t="s">
        <v>314</v>
      </c>
      <c r="AC31" s="2" t="s">
        <v>319</v>
      </c>
    </row>
    <row r="32" spans="1:29" ht="57">
      <c r="A32" s="2" t="s">
        <v>191</v>
      </c>
      <c r="B32" s="2" t="s">
        <v>192</v>
      </c>
      <c r="C32" s="2" t="s">
        <v>101</v>
      </c>
      <c r="D32" s="2" t="s">
        <v>102</v>
      </c>
      <c r="E32" s="3">
        <v>0.12</v>
      </c>
      <c r="F32" s="3">
        <v>0</v>
      </c>
      <c r="G32" s="3">
        <v>0.75</v>
      </c>
      <c r="H32" s="3">
        <v>0.91</v>
      </c>
      <c r="I32" s="3">
        <v>0.91</v>
      </c>
      <c r="J32" s="3">
        <v>0.9</v>
      </c>
      <c r="K32" s="3">
        <v>0.9</v>
      </c>
      <c r="L32" s="3">
        <v>0.95</v>
      </c>
      <c r="M32" s="3">
        <v>1</v>
      </c>
      <c r="N32" s="3">
        <v>6</v>
      </c>
      <c r="O32" s="3">
        <f>E32*Criterios_Match!$C$5</f>
        <v>3.5999999999999996</v>
      </c>
      <c r="P32" s="3">
        <f>G32*Criterios_Match!$C$6</f>
        <v>13.5</v>
      </c>
      <c r="Q32" s="3">
        <f>H32*Criterios_Match!$C$7</f>
        <v>12.74</v>
      </c>
      <c r="R32" s="3">
        <f>I32*Criterios_Match!$C$8</f>
        <v>12.74</v>
      </c>
      <c r="S32" s="3">
        <f>J32*Criterios_Match!$C$9</f>
        <v>8.1</v>
      </c>
      <c r="T32" s="3">
        <f>K32*Criterios_Match!$C$10</f>
        <v>5.4</v>
      </c>
      <c r="U32" s="3">
        <f>L32*Criterios_Match!$C$11</f>
        <v>3.8</v>
      </c>
      <c r="V32" s="3">
        <f>M32*Criterios_Match!$C$12</f>
        <v>5</v>
      </c>
      <c r="W32" s="3">
        <f t="shared" si="0"/>
        <v>70.88</v>
      </c>
      <c r="X32" s="3">
        <f t="shared" si="1"/>
        <v>15</v>
      </c>
      <c r="Y32" s="2" t="s">
        <v>308</v>
      </c>
      <c r="Z32" s="2" t="s">
        <v>322</v>
      </c>
      <c r="AA32" s="2" t="s">
        <v>310</v>
      </c>
      <c r="AB32" s="2" t="s">
        <v>314</v>
      </c>
      <c r="AC32" s="2" t="s">
        <v>319</v>
      </c>
    </row>
    <row r="33" spans="1:29" ht="57">
      <c r="A33" s="2" t="s">
        <v>191</v>
      </c>
      <c r="B33" s="2" t="s">
        <v>192</v>
      </c>
      <c r="C33" s="2" t="s">
        <v>106</v>
      </c>
      <c r="D33" s="2" t="s">
        <v>107</v>
      </c>
      <c r="E33" s="3">
        <v>0.56999999999999995</v>
      </c>
      <c r="F33" s="3">
        <v>0.25</v>
      </c>
      <c r="G33" s="3">
        <v>0.75</v>
      </c>
      <c r="H33" s="3">
        <v>0.97</v>
      </c>
      <c r="I33" s="3">
        <v>0.98</v>
      </c>
      <c r="J33" s="3">
        <v>0.25</v>
      </c>
      <c r="K33" s="3">
        <v>1</v>
      </c>
      <c r="L33" s="3">
        <v>0.85</v>
      </c>
      <c r="M33" s="3">
        <v>0.95</v>
      </c>
      <c r="N33" s="3">
        <v>4.25</v>
      </c>
      <c r="O33" s="3">
        <f>E33*Criterios_Match!$C$5</f>
        <v>17.099999999999998</v>
      </c>
      <c r="P33" s="3">
        <f>G33*Criterios_Match!$C$6</f>
        <v>13.5</v>
      </c>
      <c r="Q33" s="3">
        <f>H33*Criterios_Match!$C$7</f>
        <v>13.58</v>
      </c>
      <c r="R33" s="3">
        <f>I33*Criterios_Match!$C$8</f>
        <v>13.719999999999999</v>
      </c>
      <c r="S33" s="3">
        <f>J33*Criterios_Match!$C$9</f>
        <v>2.25</v>
      </c>
      <c r="T33" s="3">
        <f>K33*Criterios_Match!$C$10</f>
        <v>6</v>
      </c>
      <c r="U33" s="3">
        <f>L33*Criterios_Match!$C$11</f>
        <v>3.4</v>
      </c>
      <c r="V33" s="3">
        <f>M33*Criterios_Match!$C$12</f>
        <v>4.75</v>
      </c>
      <c r="W33" s="3">
        <f t="shared" si="0"/>
        <v>78.55</v>
      </c>
      <c r="X33" s="3">
        <f t="shared" si="1"/>
        <v>9</v>
      </c>
      <c r="Y33" s="2" t="s">
        <v>308</v>
      </c>
      <c r="Z33" s="2" t="s">
        <v>313</v>
      </c>
      <c r="AA33" s="2" t="s">
        <v>310</v>
      </c>
      <c r="AB33" s="2" t="s">
        <v>314</v>
      </c>
      <c r="AC33" s="2" t="s">
        <v>319</v>
      </c>
    </row>
    <row r="34" spans="1:29" ht="57">
      <c r="A34" s="2" t="s">
        <v>191</v>
      </c>
      <c r="B34" s="2" t="s">
        <v>192</v>
      </c>
      <c r="C34" s="2" t="s">
        <v>115</v>
      </c>
      <c r="D34" s="2" t="s">
        <v>116</v>
      </c>
      <c r="E34" s="3">
        <v>0.47</v>
      </c>
      <c r="F34" s="3">
        <v>0</v>
      </c>
      <c r="G34" s="3">
        <v>0.75</v>
      </c>
      <c r="H34" s="3">
        <v>0.92</v>
      </c>
      <c r="I34" s="3">
        <v>0.91</v>
      </c>
      <c r="J34" s="3">
        <v>0.25</v>
      </c>
      <c r="K34" s="3">
        <v>0.98</v>
      </c>
      <c r="L34" s="3">
        <v>0.95</v>
      </c>
      <c r="M34" s="3">
        <v>1</v>
      </c>
      <c r="N34" s="3">
        <v>4.21</v>
      </c>
      <c r="O34" s="3">
        <f>E34*Criterios_Match!$C$5</f>
        <v>14.1</v>
      </c>
      <c r="P34" s="3">
        <f>G34*Criterios_Match!$C$6</f>
        <v>13.5</v>
      </c>
      <c r="Q34" s="3">
        <f>H34*Criterios_Match!$C$7</f>
        <v>12.88</v>
      </c>
      <c r="R34" s="3">
        <f>I34*Criterios_Match!$C$8</f>
        <v>12.74</v>
      </c>
      <c r="S34" s="3">
        <f>J34*Criterios_Match!$C$9</f>
        <v>2.25</v>
      </c>
      <c r="T34" s="3">
        <f>K34*Criterios_Match!$C$10</f>
        <v>5.88</v>
      </c>
      <c r="U34" s="3">
        <f>L34*Criterios_Match!$C$11</f>
        <v>3.8</v>
      </c>
      <c r="V34" s="3">
        <f>M34*Criterios_Match!$C$12</f>
        <v>5</v>
      </c>
      <c r="W34" s="3">
        <f t="shared" si="0"/>
        <v>74.36</v>
      </c>
      <c r="X34" s="3">
        <f t="shared" si="1"/>
        <v>12</v>
      </c>
      <c r="Y34" s="2" t="s">
        <v>308</v>
      </c>
      <c r="Z34" s="2" t="s">
        <v>313</v>
      </c>
      <c r="AA34" s="2" t="s">
        <v>310</v>
      </c>
      <c r="AB34" s="2" t="s">
        <v>314</v>
      </c>
      <c r="AC34" s="2" t="s">
        <v>319</v>
      </c>
    </row>
    <row r="35" spans="1:29" ht="28.5">
      <c r="A35" s="2" t="s">
        <v>191</v>
      </c>
      <c r="B35" s="2" t="s">
        <v>192</v>
      </c>
      <c r="C35" s="2" t="s">
        <v>119</v>
      </c>
      <c r="D35" s="2" t="s">
        <v>120</v>
      </c>
      <c r="E35" s="3">
        <v>0.82</v>
      </c>
      <c r="F35" s="3">
        <v>0.45</v>
      </c>
      <c r="G35" s="3">
        <v>0.35</v>
      </c>
      <c r="H35" s="3">
        <v>0.97</v>
      </c>
      <c r="I35" s="3">
        <v>0.91</v>
      </c>
      <c r="J35" s="3">
        <v>0.9</v>
      </c>
      <c r="K35" s="3">
        <v>0.75</v>
      </c>
      <c r="L35" s="3">
        <v>1</v>
      </c>
      <c r="M35" s="3">
        <v>1</v>
      </c>
      <c r="N35" s="3">
        <v>5.7</v>
      </c>
      <c r="O35" s="3">
        <f>E35*Criterios_Match!$C$5</f>
        <v>24.599999999999998</v>
      </c>
      <c r="P35" s="3">
        <f>G35*Criterios_Match!$C$6</f>
        <v>6.3</v>
      </c>
      <c r="Q35" s="3">
        <f>H35*Criterios_Match!$C$7</f>
        <v>13.58</v>
      </c>
      <c r="R35" s="3">
        <f>I35*Criterios_Match!$C$8</f>
        <v>12.74</v>
      </c>
      <c r="S35" s="3">
        <f>J35*Criterios_Match!$C$9</f>
        <v>8.1</v>
      </c>
      <c r="T35" s="3">
        <f>K35*Criterios_Match!$C$10</f>
        <v>4.5</v>
      </c>
      <c r="U35" s="3">
        <f>L35*Criterios_Match!$C$11</f>
        <v>4</v>
      </c>
      <c r="V35" s="3">
        <f>M35*Criterios_Match!$C$12</f>
        <v>5</v>
      </c>
      <c r="W35" s="3">
        <f t="shared" si="0"/>
        <v>84.52</v>
      </c>
      <c r="X35" s="3">
        <f t="shared" si="1"/>
        <v>4</v>
      </c>
      <c r="Y35" s="2" t="s">
        <v>321</v>
      </c>
      <c r="Z35" s="2" t="s">
        <v>317</v>
      </c>
      <c r="AA35" s="2" t="s">
        <v>322</v>
      </c>
      <c r="AB35" s="2"/>
      <c r="AC35" s="2" t="s">
        <v>318</v>
      </c>
    </row>
    <row r="36" spans="1:29" ht="57">
      <c r="A36" s="2" t="s">
        <v>191</v>
      </c>
      <c r="B36" s="2" t="s">
        <v>192</v>
      </c>
      <c r="C36" s="2" t="s">
        <v>126</v>
      </c>
      <c r="D36" s="2" t="s">
        <v>127</v>
      </c>
      <c r="E36" s="3">
        <v>0.12</v>
      </c>
      <c r="F36" s="3">
        <v>0</v>
      </c>
      <c r="G36" s="3">
        <v>1</v>
      </c>
      <c r="H36" s="3">
        <v>0.96</v>
      </c>
      <c r="I36" s="3">
        <v>0.98</v>
      </c>
      <c r="J36" s="3">
        <v>0.25</v>
      </c>
      <c r="K36" s="3">
        <v>1</v>
      </c>
      <c r="L36" s="3">
        <v>0.85</v>
      </c>
      <c r="M36" s="3">
        <v>1</v>
      </c>
      <c r="N36" s="3">
        <v>4.25</v>
      </c>
      <c r="O36" s="3">
        <f>E36*Criterios_Match!$C$5</f>
        <v>3.5999999999999996</v>
      </c>
      <c r="P36" s="3">
        <f>G36*Criterios_Match!$C$6</f>
        <v>18</v>
      </c>
      <c r="Q36" s="3">
        <f>H36*Criterios_Match!$C$7</f>
        <v>13.44</v>
      </c>
      <c r="R36" s="3">
        <f>I36*Criterios_Match!$C$8</f>
        <v>13.719999999999999</v>
      </c>
      <c r="S36" s="3">
        <f>J36*Criterios_Match!$C$9</f>
        <v>2.25</v>
      </c>
      <c r="T36" s="3">
        <f>K36*Criterios_Match!$C$10</f>
        <v>6</v>
      </c>
      <c r="U36" s="3">
        <f>L36*Criterios_Match!$C$11</f>
        <v>3.4</v>
      </c>
      <c r="V36" s="3">
        <f>M36*Criterios_Match!$C$12</f>
        <v>5</v>
      </c>
      <c r="W36" s="3">
        <f t="shared" si="0"/>
        <v>69.66</v>
      </c>
      <c r="X36" s="3">
        <f t="shared" si="1"/>
        <v>16</v>
      </c>
      <c r="Y36" s="2" t="s">
        <v>308</v>
      </c>
      <c r="Z36" s="2" t="s">
        <v>310</v>
      </c>
      <c r="AA36" s="2" t="s">
        <v>314</v>
      </c>
      <c r="AB36" s="2"/>
      <c r="AC36" s="2" t="s">
        <v>319</v>
      </c>
    </row>
    <row r="37" spans="1:29" ht="57">
      <c r="A37" s="2" t="s">
        <v>191</v>
      </c>
      <c r="B37" s="2" t="s">
        <v>192</v>
      </c>
      <c r="C37" s="2" t="s">
        <v>133</v>
      </c>
      <c r="D37" s="2" t="s">
        <v>134</v>
      </c>
      <c r="E37" s="3">
        <v>0.56999999999999995</v>
      </c>
      <c r="F37" s="3">
        <v>0.25</v>
      </c>
      <c r="G37" s="3">
        <v>0.75</v>
      </c>
      <c r="H37" s="3">
        <v>0.92</v>
      </c>
      <c r="I37" s="3">
        <v>0.98</v>
      </c>
      <c r="J37" s="3">
        <v>0.25</v>
      </c>
      <c r="K37" s="3">
        <v>0.83</v>
      </c>
      <c r="L37" s="3">
        <v>1</v>
      </c>
      <c r="M37" s="3">
        <v>0.95</v>
      </c>
      <c r="N37" s="3">
        <v>3.91</v>
      </c>
      <c r="O37" s="3">
        <f>E37*Criterios_Match!$C$5</f>
        <v>17.099999999999998</v>
      </c>
      <c r="P37" s="3">
        <f>G37*Criterios_Match!$C$6</f>
        <v>13.5</v>
      </c>
      <c r="Q37" s="3">
        <f>H37*Criterios_Match!$C$7</f>
        <v>12.88</v>
      </c>
      <c r="R37" s="3">
        <f>I37*Criterios_Match!$C$8</f>
        <v>13.719999999999999</v>
      </c>
      <c r="S37" s="3">
        <f>J37*Criterios_Match!$C$9</f>
        <v>2.25</v>
      </c>
      <c r="T37" s="3">
        <f>K37*Criterios_Match!$C$10</f>
        <v>4.9799999999999995</v>
      </c>
      <c r="U37" s="3">
        <f>L37*Criterios_Match!$C$11</f>
        <v>4</v>
      </c>
      <c r="V37" s="3">
        <f>M37*Criterios_Match!$C$12</f>
        <v>4.75</v>
      </c>
      <c r="W37" s="3">
        <f t="shared" ref="W37:W68" si="2">ROUND(SUM(O37:V37)+N37,2)</f>
        <v>77.09</v>
      </c>
      <c r="X37" s="3">
        <f t="shared" ref="X37:X68" si="3">COUNTIFS($A$5:$A$104,A37,$W$5:$W$104,"&gt;"&amp;W37)+1</f>
        <v>11</v>
      </c>
      <c r="Y37" s="2" t="s">
        <v>308</v>
      </c>
      <c r="Z37" s="2" t="s">
        <v>313</v>
      </c>
      <c r="AA37" s="2" t="s">
        <v>310</v>
      </c>
      <c r="AB37" s="2"/>
      <c r="AC37" s="2" t="s">
        <v>319</v>
      </c>
    </row>
    <row r="38" spans="1:29" ht="57">
      <c r="A38" s="2" t="s">
        <v>191</v>
      </c>
      <c r="B38" s="2" t="s">
        <v>192</v>
      </c>
      <c r="C38" s="2" t="s">
        <v>138</v>
      </c>
      <c r="D38" s="2" t="s">
        <v>139</v>
      </c>
      <c r="E38" s="3">
        <v>0.38</v>
      </c>
      <c r="F38" s="3">
        <v>0</v>
      </c>
      <c r="G38" s="3">
        <v>0.75</v>
      </c>
      <c r="H38" s="3">
        <v>0.98</v>
      </c>
      <c r="I38" s="3">
        <v>0.91</v>
      </c>
      <c r="J38" s="3">
        <v>0.25</v>
      </c>
      <c r="K38" s="3">
        <v>1</v>
      </c>
      <c r="L38" s="3">
        <v>1</v>
      </c>
      <c r="M38" s="3">
        <v>1</v>
      </c>
      <c r="N38" s="3">
        <v>4.25</v>
      </c>
      <c r="O38" s="3">
        <f>E38*Criterios_Match!$C$5</f>
        <v>11.4</v>
      </c>
      <c r="P38" s="3">
        <f>G38*Criterios_Match!$C$6</f>
        <v>13.5</v>
      </c>
      <c r="Q38" s="3">
        <f>H38*Criterios_Match!$C$7</f>
        <v>13.719999999999999</v>
      </c>
      <c r="R38" s="3">
        <f>I38*Criterios_Match!$C$8</f>
        <v>12.74</v>
      </c>
      <c r="S38" s="3">
        <f>J38*Criterios_Match!$C$9</f>
        <v>2.25</v>
      </c>
      <c r="T38" s="3">
        <f>K38*Criterios_Match!$C$10</f>
        <v>6</v>
      </c>
      <c r="U38" s="3">
        <f>L38*Criterios_Match!$C$11</f>
        <v>4</v>
      </c>
      <c r="V38" s="3">
        <f>M38*Criterios_Match!$C$12</f>
        <v>5</v>
      </c>
      <c r="W38" s="3">
        <f t="shared" si="2"/>
        <v>72.86</v>
      </c>
      <c r="X38" s="3">
        <f t="shared" si="3"/>
        <v>13</v>
      </c>
      <c r="Y38" s="2" t="s">
        <v>308</v>
      </c>
      <c r="Z38" s="2" t="s">
        <v>310</v>
      </c>
      <c r="AA38" s="2" t="s">
        <v>314</v>
      </c>
      <c r="AB38" s="2"/>
      <c r="AC38" s="2" t="s">
        <v>319</v>
      </c>
    </row>
    <row r="39" spans="1:29" ht="57">
      <c r="A39" s="2" t="s">
        <v>191</v>
      </c>
      <c r="B39" s="2" t="s">
        <v>192</v>
      </c>
      <c r="C39" s="2" t="s">
        <v>142</v>
      </c>
      <c r="D39" s="2" t="s">
        <v>143</v>
      </c>
      <c r="E39" s="3">
        <v>0.38</v>
      </c>
      <c r="F39" s="3">
        <v>0</v>
      </c>
      <c r="G39" s="3">
        <v>0.75</v>
      </c>
      <c r="H39" s="3">
        <v>0.99</v>
      </c>
      <c r="I39" s="3">
        <v>0.98</v>
      </c>
      <c r="J39" s="3">
        <v>1</v>
      </c>
      <c r="K39" s="3">
        <v>0.98</v>
      </c>
      <c r="L39" s="3">
        <v>0.85</v>
      </c>
      <c r="M39" s="3">
        <v>0.95</v>
      </c>
      <c r="N39" s="3">
        <v>6.46</v>
      </c>
      <c r="O39" s="3">
        <f>E39*Criterios_Match!$C$5</f>
        <v>11.4</v>
      </c>
      <c r="P39" s="3">
        <f>G39*Criterios_Match!$C$6</f>
        <v>13.5</v>
      </c>
      <c r="Q39" s="3">
        <f>H39*Criterios_Match!$C$7</f>
        <v>13.86</v>
      </c>
      <c r="R39" s="3">
        <f>I39*Criterios_Match!$C$8</f>
        <v>13.719999999999999</v>
      </c>
      <c r="S39" s="3">
        <f>J39*Criterios_Match!$C$9</f>
        <v>9</v>
      </c>
      <c r="T39" s="3">
        <f>K39*Criterios_Match!$C$10</f>
        <v>5.88</v>
      </c>
      <c r="U39" s="3">
        <f>L39*Criterios_Match!$C$11</f>
        <v>3.4</v>
      </c>
      <c r="V39" s="3">
        <f>M39*Criterios_Match!$C$12</f>
        <v>4.75</v>
      </c>
      <c r="W39" s="3">
        <f t="shared" si="2"/>
        <v>81.97</v>
      </c>
      <c r="X39" s="3">
        <f t="shared" si="3"/>
        <v>6</v>
      </c>
      <c r="Y39" s="2" t="s">
        <v>308</v>
      </c>
      <c r="Z39" s="2" t="s">
        <v>322</v>
      </c>
      <c r="AA39" s="2" t="s">
        <v>310</v>
      </c>
      <c r="AB39" s="2" t="s">
        <v>314</v>
      </c>
      <c r="AC39" s="2" t="s">
        <v>319</v>
      </c>
    </row>
    <row r="40" spans="1:29" ht="57">
      <c r="A40" s="2" t="s">
        <v>191</v>
      </c>
      <c r="B40" s="2" t="s">
        <v>192</v>
      </c>
      <c r="C40" s="2" t="s">
        <v>146</v>
      </c>
      <c r="D40" s="2" t="s">
        <v>147</v>
      </c>
      <c r="E40" s="3">
        <v>0</v>
      </c>
      <c r="F40" s="3">
        <v>0</v>
      </c>
      <c r="G40" s="3">
        <v>0.05</v>
      </c>
      <c r="H40" s="3">
        <v>0.85</v>
      </c>
      <c r="I40" s="3">
        <v>0.98</v>
      </c>
      <c r="J40" s="3">
        <v>0.9</v>
      </c>
      <c r="K40" s="3">
        <v>0.3</v>
      </c>
      <c r="L40" s="3">
        <v>0.9</v>
      </c>
      <c r="M40" s="3">
        <v>0.95</v>
      </c>
      <c r="N40" s="3">
        <v>4.8</v>
      </c>
      <c r="O40" s="3">
        <f>E40*Criterios_Match!$C$5</f>
        <v>0</v>
      </c>
      <c r="P40" s="3">
        <f>G40*Criterios_Match!$C$6</f>
        <v>0.9</v>
      </c>
      <c r="Q40" s="3">
        <f>H40*Criterios_Match!$C$7</f>
        <v>11.9</v>
      </c>
      <c r="R40" s="3">
        <f>I40*Criterios_Match!$C$8</f>
        <v>13.719999999999999</v>
      </c>
      <c r="S40" s="3">
        <f>J40*Criterios_Match!$C$9</f>
        <v>8.1</v>
      </c>
      <c r="T40" s="3">
        <f>K40*Criterios_Match!$C$10</f>
        <v>1.7999999999999998</v>
      </c>
      <c r="U40" s="3">
        <f>L40*Criterios_Match!$C$11</f>
        <v>3.6</v>
      </c>
      <c r="V40" s="3">
        <f>M40*Criterios_Match!$C$12</f>
        <v>4.75</v>
      </c>
      <c r="W40" s="3">
        <f t="shared" si="2"/>
        <v>49.57</v>
      </c>
      <c r="X40" s="3">
        <f t="shared" si="3"/>
        <v>20</v>
      </c>
      <c r="Y40" s="2" t="s">
        <v>308</v>
      </c>
      <c r="Z40" s="2" t="s">
        <v>322</v>
      </c>
      <c r="AA40" s="2"/>
      <c r="AB40" s="2"/>
      <c r="AC40" s="2" t="s">
        <v>319</v>
      </c>
    </row>
    <row r="41" spans="1:29" ht="57">
      <c r="A41" s="2" t="s">
        <v>191</v>
      </c>
      <c r="B41" s="2" t="s">
        <v>192</v>
      </c>
      <c r="C41" s="2" t="s">
        <v>149</v>
      </c>
      <c r="D41" s="2" t="s">
        <v>150</v>
      </c>
      <c r="E41" s="3">
        <v>0.75</v>
      </c>
      <c r="F41" s="3">
        <v>0.25</v>
      </c>
      <c r="G41" s="3">
        <v>0.75</v>
      </c>
      <c r="H41" s="3">
        <v>0.96</v>
      </c>
      <c r="I41" s="3">
        <v>0.98</v>
      </c>
      <c r="J41" s="3">
        <v>0.25</v>
      </c>
      <c r="K41" s="3">
        <v>1</v>
      </c>
      <c r="L41" s="3">
        <v>0.95</v>
      </c>
      <c r="M41" s="3">
        <v>0.95</v>
      </c>
      <c r="N41" s="3">
        <v>4.25</v>
      </c>
      <c r="O41" s="3">
        <f>E41*Criterios_Match!$C$5</f>
        <v>22.5</v>
      </c>
      <c r="P41" s="3">
        <f>G41*Criterios_Match!$C$6</f>
        <v>13.5</v>
      </c>
      <c r="Q41" s="3">
        <f>H41*Criterios_Match!$C$7</f>
        <v>13.44</v>
      </c>
      <c r="R41" s="3">
        <f>I41*Criterios_Match!$C$8</f>
        <v>13.719999999999999</v>
      </c>
      <c r="S41" s="3">
        <f>J41*Criterios_Match!$C$9</f>
        <v>2.25</v>
      </c>
      <c r="T41" s="3">
        <f>K41*Criterios_Match!$C$10</f>
        <v>6</v>
      </c>
      <c r="U41" s="3">
        <f>L41*Criterios_Match!$C$11</f>
        <v>3.8</v>
      </c>
      <c r="V41" s="3">
        <f>M41*Criterios_Match!$C$12</f>
        <v>4.75</v>
      </c>
      <c r="W41" s="3">
        <f t="shared" si="2"/>
        <v>84.21</v>
      </c>
      <c r="X41" s="3">
        <f t="shared" si="3"/>
        <v>5</v>
      </c>
      <c r="Y41" s="2" t="s">
        <v>321</v>
      </c>
      <c r="Z41" s="2" t="s">
        <v>317</v>
      </c>
      <c r="AA41" s="2" t="s">
        <v>310</v>
      </c>
      <c r="AB41" s="2" t="s">
        <v>314</v>
      </c>
      <c r="AC41" s="2" t="s">
        <v>319</v>
      </c>
    </row>
    <row r="42" spans="1:29" ht="57">
      <c r="A42" s="2" t="s">
        <v>191</v>
      </c>
      <c r="B42" s="2" t="s">
        <v>192</v>
      </c>
      <c r="C42" s="2" t="s">
        <v>153</v>
      </c>
      <c r="D42" s="2" t="s">
        <v>154</v>
      </c>
      <c r="E42" s="3">
        <v>0.45</v>
      </c>
      <c r="F42" s="3">
        <v>0</v>
      </c>
      <c r="G42" s="3">
        <v>0.35</v>
      </c>
      <c r="H42" s="3">
        <v>0.95</v>
      </c>
      <c r="I42" s="3">
        <v>0.84</v>
      </c>
      <c r="J42" s="3">
        <v>0.9</v>
      </c>
      <c r="K42" s="3">
        <v>0.75</v>
      </c>
      <c r="L42" s="3">
        <v>0.85</v>
      </c>
      <c r="M42" s="3">
        <v>1</v>
      </c>
      <c r="N42" s="3">
        <v>5.7</v>
      </c>
      <c r="O42" s="3">
        <f>E42*Criterios_Match!$C$5</f>
        <v>13.5</v>
      </c>
      <c r="P42" s="3">
        <f>G42*Criterios_Match!$C$6</f>
        <v>6.3</v>
      </c>
      <c r="Q42" s="3">
        <f>H42*Criterios_Match!$C$7</f>
        <v>13.299999999999999</v>
      </c>
      <c r="R42" s="3">
        <f>I42*Criterios_Match!$C$8</f>
        <v>11.76</v>
      </c>
      <c r="S42" s="3">
        <f>J42*Criterios_Match!$C$9</f>
        <v>8.1</v>
      </c>
      <c r="T42" s="3">
        <f>K42*Criterios_Match!$C$10</f>
        <v>4.5</v>
      </c>
      <c r="U42" s="3">
        <f>L42*Criterios_Match!$C$11</f>
        <v>3.4</v>
      </c>
      <c r="V42" s="3">
        <f>M42*Criterios_Match!$C$12</f>
        <v>5</v>
      </c>
      <c r="W42" s="3">
        <f t="shared" si="2"/>
        <v>71.56</v>
      </c>
      <c r="X42" s="3">
        <f t="shared" si="3"/>
        <v>14</v>
      </c>
      <c r="Y42" s="2" t="s">
        <v>308</v>
      </c>
      <c r="Z42" s="2" t="s">
        <v>313</v>
      </c>
      <c r="AA42" s="2" t="s">
        <v>322</v>
      </c>
      <c r="AB42" s="2"/>
      <c r="AC42" s="2" t="s">
        <v>319</v>
      </c>
    </row>
    <row r="43" spans="1:29" ht="57">
      <c r="A43" s="2" t="s">
        <v>191</v>
      </c>
      <c r="B43" s="2" t="s">
        <v>192</v>
      </c>
      <c r="C43" s="2" t="s">
        <v>158</v>
      </c>
      <c r="D43" s="2" t="s">
        <v>159</v>
      </c>
      <c r="E43" s="3">
        <v>0.38</v>
      </c>
      <c r="F43" s="3">
        <v>0</v>
      </c>
      <c r="G43" s="3">
        <v>0.75</v>
      </c>
      <c r="H43" s="3">
        <v>0.97</v>
      </c>
      <c r="I43" s="3">
        <v>0.91</v>
      </c>
      <c r="J43" s="3">
        <v>1</v>
      </c>
      <c r="K43" s="3">
        <v>0.9</v>
      </c>
      <c r="L43" s="3">
        <v>1</v>
      </c>
      <c r="M43" s="3">
        <v>1</v>
      </c>
      <c r="N43" s="3">
        <v>6.3</v>
      </c>
      <c r="O43" s="3">
        <f>E43*Criterios_Match!$C$5</f>
        <v>11.4</v>
      </c>
      <c r="P43" s="3">
        <f>G43*Criterios_Match!$C$6</f>
        <v>13.5</v>
      </c>
      <c r="Q43" s="3">
        <f>H43*Criterios_Match!$C$7</f>
        <v>13.58</v>
      </c>
      <c r="R43" s="3">
        <f>I43*Criterios_Match!$C$8</f>
        <v>12.74</v>
      </c>
      <c r="S43" s="3">
        <f>J43*Criterios_Match!$C$9</f>
        <v>9</v>
      </c>
      <c r="T43" s="3">
        <f>K43*Criterios_Match!$C$10</f>
        <v>5.4</v>
      </c>
      <c r="U43" s="3">
        <f>L43*Criterios_Match!$C$11</f>
        <v>4</v>
      </c>
      <c r="V43" s="3">
        <f>M43*Criterios_Match!$C$12</f>
        <v>5</v>
      </c>
      <c r="W43" s="3">
        <f t="shared" si="2"/>
        <v>80.92</v>
      </c>
      <c r="X43" s="3">
        <f t="shared" si="3"/>
        <v>8</v>
      </c>
      <c r="Y43" s="2" t="s">
        <v>308</v>
      </c>
      <c r="Z43" s="2" t="s">
        <v>322</v>
      </c>
      <c r="AA43" s="2" t="s">
        <v>310</v>
      </c>
      <c r="AB43" s="2" t="s">
        <v>314</v>
      </c>
      <c r="AC43" s="2" t="s">
        <v>319</v>
      </c>
    </row>
    <row r="44" spans="1:29" ht="57">
      <c r="A44" s="2" t="s">
        <v>191</v>
      </c>
      <c r="B44" s="2" t="s">
        <v>192</v>
      </c>
      <c r="C44" s="2" t="s">
        <v>162</v>
      </c>
      <c r="D44" s="2" t="s">
        <v>163</v>
      </c>
      <c r="E44" s="3">
        <v>0.56999999999999995</v>
      </c>
      <c r="F44" s="3">
        <v>0.25</v>
      </c>
      <c r="G44" s="3">
        <v>1</v>
      </c>
      <c r="H44" s="3">
        <v>0.97</v>
      </c>
      <c r="I44" s="3">
        <v>0.98</v>
      </c>
      <c r="J44" s="3">
        <v>0.9</v>
      </c>
      <c r="K44" s="3">
        <v>1</v>
      </c>
      <c r="L44" s="3">
        <v>0.85</v>
      </c>
      <c r="M44" s="3">
        <v>0.95</v>
      </c>
      <c r="N44" s="3">
        <v>6.2</v>
      </c>
      <c r="O44" s="3">
        <f>E44*Criterios_Match!$C$5</f>
        <v>17.099999999999998</v>
      </c>
      <c r="P44" s="3">
        <f>G44*Criterios_Match!$C$6</f>
        <v>18</v>
      </c>
      <c r="Q44" s="3">
        <f>H44*Criterios_Match!$C$7</f>
        <v>13.58</v>
      </c>
      <c r="R44" s="3">
        <f>I44*Criterios_Match!$C$8</f>
        <v>13.719999999999999</v>
      </c>
      <c r="S44" s="3">
        <f>J44*Criterios_Match!$C$9</f>
        <v>8.1</v>
      </c>
      <c r="T44" s="3">
        <f>K44*Criterios_Match!$C$10</f>
        <v>6</v>
      </c>
      <c r="U44" s="3">
        <f>L44*Criterios_Match!$C$11</f>
        <v>3.4</v>
      </c>
      <c r="V44" s="3">
        <f>M44*Criterios_Match!$C$12</f>
        <v>4.75</v>
      </c>
      <c r="W44" s="3">
        <f t="shared" si="2"/>
        <v>90.85</v>
      </c>
      <c r="X44" s="3">
        <f t="shared" si="3"/>
        <v>1</v>
      </c>
      <c r="Y44" s="2" t="s">
        <v>321</v>
      </c>
      <c r="Z44" s="2" t="s">
        <v>313</v>
      </c>
      <c r="AA44" s="2" t="s">
        <v>322</v>
      </c>
      <c r="AB44" s="2" t="s">
        <v>310</v>
      </c>
      <c r="AC44" s="2" t="s">
        <v>319</v>
      </c>
    </row>
    <row r="45" spans="1:29" ht="57">
      <c r="A45" s="2" t="s">
        <v>201</v>
      </c>
      <c r="B45" s="2" t="s">
        <v>202</v>
      </c>
      <c r="C45" s="2" t="s">
        <v>41</v>
      </c>
      <c r="D45" s="2" t="s">
        <v>42</v>
      </c>
      <c r="E45" s="3">
        <v>0.47</v>
      </c>
      <c r="F45" s="3">
        <v>0</v>
      </c>
      <c r="G45" s="3">
        <v>0.65</v>
      </c>
      <c r="H45" s="3">
        <v>0.9</v>
      </c>
      <c r="I45" s="3">
        <v>0.95</v>
      </c>
      <c r="J45" s="3">
        <v>0.25</v>
      </c>
      <c r="K45" s="3">
        <v>1</v>
      </c>
      <c r="L45" s="3">
        <v>1</v>
      </c>
      <c r="M45" s="3">
        <v>1</v>
      </c>
      <c r="N45" s="3">
        <v>5.4</v>
      </c>
      <c r="O45" s="3">
        <f>E45*Criterios_Match!$C$5</f>
        <v>14.1</v>
      </c>
      <c r="P45" s="3">
        <f>G45*Criterios_Match!$C$6</f>
        <v>11.700000000000001</v>
      </c>
      <c r="Q45" s="3">
        <f>H45*Criterios_Match!$C$7</f>
        <v>12.6</v>
      </c>
      <c r="R45" s="3">
        <f>I45*Criterios_Match!$C$8</f>
        <v>13.299999999999999</v>
      </c>
      <c r="S45" s="3">
        <f>J45*Criterios_Match!$C$9</f>
        <v>2.25</v>
      </c>
      <c r="T45" s="3">
        <f>K45*Criterios_Match!$C$10</f>
        <v>6</v>
      </c>
      <c r="U45" s="3">
        <f>L45*Criterios_Match!$C$11</f>
        <v>4</v>
      </c>
      <c r="V45" s="3">
        <f>M45*Criterios_Match!$C$12</f>
        <v>5</v>
      </c>
      <c r="W45" s="3">
        <f t="shared" si="2"/>
        <v>74.349999999999994</v>
      </c>
      <c r="X45" s="3">
        <f t="shared" si="3"/>
        <v>11</v>
      </c>
      <c r="Y45" s="2" t="s">
        <v>308</v>
      </c>
      <c r="Z45" s="2" t="s">
        <v>313</v>
      </c>
      <c r="AA45" s="2" t="s">
        <v>311</v>
      </c>
      <c r="AB45" s="2" t="s">
        <v>314</v>
      </c>
      <c r="AC45" s="2" t="s">
        <v>323</v>
      </c>
    </row>
    <row r="46" spans="1:29" ht="57">
      <c r="A46" s="2" t="s">
        <v>201</v>
      </c>
      <c r="B46" s="2" t="s">
        <v>202</v>
      </c>
      <c r="C46" s="2" t="s">
        <v>51</v>
      </c>
      <c r="D46" s="2" t="s">
        <v>52</v>
      </c>
      <c r="E46" s="3">
        <v>0</v>
      </c>
      <c r="F46" s="3">
        <v>0</v>
      </c>
      <c r="G46" s="3">
        <v>0.65</v>
      </c>
      <c r="H46" s="3">
        <v>0.54</v>
      </c>
      <c r="I46" s="3">
        <v>0.99</v>
      </c>
      <c r="J46" s="3">
        <v>0.25</v>
      </c>
      <c r="K46" s="3">
        <v>0.96</v>
      </c>
      <c r="L46" s="3">
        <v>0.9</v>
      </c>
      <c r="M46" s="3">
        <v>0.95</v>
      </c>
      <c r="N46" s="3">
        <v>4.32</v>
      </c>
      <c r="O46" s="3">
        <f>E46*Criterios_Match!$C$5</f>
        <v>0</v>
      </c>
      <c r="P46" s="3">
        <f>G46*Criterios_Match!$C$6</f>
        <v>11.700000000000001</v>
      </c>
      <c r="Q46" s="3">
        <f>H46*Criterios_Match!$C$7</f>
        <v>7.5600000000000005</v>
      </c>
      <c r="R46" s="3">
        <f>I46*Criterios_Match!$C$8</f>
        <v>13.86</v>
      </c>
      <c r="S46" s="3">
        <f>J46*Criterios_Match!$C$9</f>
        <v>2.25</v>
      </c>
      <c r="T46" s="3">
        <f>K46*Criterios_Match!$C$10</f>
        <v>5.76</v>
      </c>
      <c r="U46" s="3">
        <f>L46*Criterios_Match!$C$11</f>
        <v>3.6</v>
      </c>
      <c r="V46" s="3">
        <f>M46*Criterios_Match!$C$12</f>
        <v>4.75</v>
      </c>
      <c r="W46" s="3">
        <f t="shared" si="2"/>
        <v>53.8</v>
      </c>
      <c r="X46" s="3">
        <f t="shared" si="3"/>
        <v>19</v>
      </c>
      <c r="Y46" s="2" t="s">
        <v>308</v>
      </c>
      <c r="Z46" s="2" t="s">
        <v>314</v>
      </c>
      <c r="AA46" s="2"/>
      <c r="AB46" s="2"/>
      <c r="AC46" s="2" t="s">
        <v>323</v>
      </c>
    </row>
    <row r="47" spans="1:29" ht="28.5">
      <c r="A47" s="2" t="s">
        <v>201</v>
      </c>
      <c r="B47" s="2" t="s">
        <v>202</v>
      </c>
      <c r="C47" s="2" t="s">
        <v>62</v>
      </c>
      <c r="D47" s="2" t="s">
        <v>63</v>
      </c>
      <c r="E47" s="3">
        <v>1</v>
      </c>
      <c r="F47" s="3">
        <v>1</v>
      </c>
      <c r="G47" s="3">
        <v>0.65</v>
      </c>
      <c r="H47" s="3">
        <v>0.85</v>
      </c>
      <c r="I47" s="3">
        <v>0.99</v>
      </c>
      <c r="J47" s="3">
        <v>1</v>
      </c>
      <c r="K47" s="3">
        <v>1</v>
      </c>
      <c r="L47" s="3">
        <v>0.85</v>
      </c>
      <c r="M47" s="3">
        <v>0.95</v>
      </c>
      <c r="N47" s="3">
        <v>7.5</v>
      </c>
      <c r="O47" s="3">
        <f>E47*Criterios_Match!$C$5</f>
        <v>30</v>
      </c>
      <c r="P47" s="3">
        <f>G47*Criterios_Match!$C$6</f>
        <v>11.700000000000001</v>
      </c>
      <c r="Q47" s="3">
        <f>H47*Criterios_Match!$C$7</f>
        <v>11.9</v>
      </c>
      <c r="R47" s="3">
        <f>I47*Criterios_Match!$C$8</f>
        <v>13.86</v>
      </c>
      <c r="S47" s="3">
        <f>J47*Criterios_Match!$C$9</f>
        <v>9</v>
      </c>
      <c r="T47" s="3">
        <f>K47*Criterios_Match!$C$10</f>
        <v>6</v>
      </c>
      <c r="U47" s="3">
        <f>L47*Criterios_Match!$C$11</f>
        <v>3.4</v>
      </c>
      <c r="V47" s="3">
        <f>M47*Criterios_Match!$C$12</f>
        <v>4.75</v>
      </c>
      <c r="W47" s="3">
        <f t="shared" si="2"/>
        <v>98.11</v>
      </c>
      <c r="X47" s="3">
        <f t="shared" si="3"/>
        <v>2</v>
      </c>
      <c r="Y47" s="2" t="s">
        <v>316</v>
      </c>
      <c r="Z47" s="2" t="s">
        <v>324</v>
      </c>
      <c r="AA47" s="2" t="s">
        <v>325</v>
      </c>
      <c r="AB47" s="2" t="s">
        <v>311</v>
      </c>
      <c r="AC47" s="2" t="s">
        <v>326</v>
      </c>
    </row>
    <row r="48" spans="1:29" ht="57">
      <c r="A48" s="2" t="s">
        <v>201</v>
      </c>
      <c r="B48" s="2" t="s">
        <v>202</v>
      </c>
      <c r="C48" s="2" t="s">
        <v>71</v>
      </c>
      <c r="D48" s="2" t="s">
        <v>72</v>
      </c>
      <c r="E48" s="3">
        <v>0.55000000000000004</v>
      </c>
      <c r="F48" s="3">
        <v>0.2</v>
      </c>
      <c r="G48" s="3">
        <v>0.65</v>
      </c>
      <c r="H48" s="3">
        <v>0.74</v>
      </c>
      <c r="I48" s="3">
        <v>0.91</v>
      </c>
      <c r="J48" s="3">
        <v>0.25</v>
      </c>
      <c r="K48" s="3">
        <v>0.9</v>
      </c>
      <c r="L48" s="3">
        <v>0.85</v>
      </c>
      <c r="M48" s="3">
        <v>1</v>
      </c>
      <c r="N48" s="3">
        <v>4.92</v>
      </c>
      <c r="O48" s="3">
        <f>E48*Criterios_Match!$C$5</f>
        <v>16.5</v>
      </c>
      <c r="P48" s="3">
        <f>G48*Criterios_Match!$C$6</f>
        <v>11.700000000000001</v>
      </c>
      <c r="Q48" s="3">
        <f>H48*Criterios_Match!$C$7</f>
        <v>10.36</v>
      </c>
      <c r="R48" s="3">
        <f>I48*Criterios_Match!$C$8</f>
        <v>12.74</v>
      </c>
      <c r="S48" s="3">
        <f>J48*Criterios_Match!$C$9</f>
        <v>2.25</v>
      </c>
      <c r="T48" s="3">
        <f>K48*Criterios_Match!$C$10</f>
        <v>5.4</v>
      </c>
      <c r="U48" s="3">
        <f>L48*Criterios_Match!$C$11</f>
        <v>3.4</v>
      </c>
      <c r="V48" s="3">
        <f>M48*Criterios_Match!$C$12</f>
        <v>5</v>
      </c>
      <c r="W48" s="3">
        <f t="shared" si="2"/>
        <v>72.27</v>
      </c>
      <c r="X48" s="3">
        <f t="shared" si="3"/>
        <v>12</v>
      </c>
      <c r="Y48" s="2" t="s">
        <v>308</v>
      </c>
      <c r="Z48" s="2" t="s">
        <v>313</v>
      </c>
      <c r="AA48" s="2" t="s">
        <v>314</v>
      </c>
      <c r="AB48" s="2"/>
      <c r="AC48" s="2" t="s">
        <v>323</v>
      </c>
    </row>
    <row r="49" spans="1:29" ht="57">
      <c r="A49" s="2" t="s">
        <v>201</v>
      </c>
      <c r="B49" s="2" t="s">
        <v>202</v>
      </c>
      <c r="C49" s="2" t="s">
        <v>81</v>
      </c>
      <c r="D49" s="2" t="s">
        <v>82</v>
      </c>
      <c r="E49" s="3">
        <v>0.08</v>
      </c>
      <c r="F49" s="3">
        <v>0</v>
      </c>
      <c r="G49" s="3">
        <v>0.65</v>
      </c>
      <c r="H49" s="3">
        <v>0.62</v>
      </c>
      <c r="I49" s="3">
        <v>0.99</v>
      </c>
      <c r="J49" s="3">
        <v>0.25</v>
      </c>
      <c r="K49" s="3">
        <v>0.96</v>
      </c>
      <c r="L49" s="3">
        <v>0.95</v>
      </c>
      <c r="M49" s="3">
        <v>0.85</v>
      </c>
      <c r="N49" s="3">
        <v>4.5599999999999996</v>
      </c>
      <c r="O49" s="3">
        <f>E49*Criterios_Match!$C$5</f>
        <v>2.4</v>
      </c>
      <c r="P49" s="3">
        <f>G49*Criterios_Match!$C$6</f>
        <v>11.700000000000001</v>
      </c>
      <c r="Q49" s="3">
        <f>H49*Criterios_Match!$C$7</f>
        <v>8.68</v>
      </c>
      <c r="R49" s="3">
        <f>I49*Criterios_Match!$C$8</f>
        <v>13.86</v>
      </c>
      <c r="S49" s="3">
        <f>J49*Criterios_Match!$C$9</f>
        <v>2.25</v>
      </c>
      <c r="T49" s="3">
        <f>K49*Criterios_Match!$C$10</f>
        <v>5.76</v>
      </c>
      <c r="U49" s="3">
        <f>L49*Criterios_Match!$C$11</f>
        <v>3.8</v>
      </c>
      <c r="V49" s="3">
        <f>M49*Criterios_Match!$C$12</f>
        <v>4.25</v>
      </c>
      <c r="W49" s="3">
        <f t="shared" si="2"/>
        <v>57.26</v>
      </c>
      <c r="X49" s="3">
        <f t="shared" si="3"/>
        <v>16</v>
      </c>
      <c r="Y49" s="2" t="s">
        <v>308</v>
      </c>
      <c r="Z49" s="2" t="s">
        <v>314</v>
      </c>
      <c r="AA49" s="2"/>
      <c r="AB49" s="2"/>
      <c r="AC49" s="2" t="s">
        <v>323</v>
      </c>
    </row>
    <row r="50" spans="1:29" ht="57">
      <c r="A50" s="2" t="s">
        <v>201</v>
      </c>
      <c r="B50" s="2" t="s">
        <v>202</v>
      </c>
      <c r="C50" s="2" t="s">
        <v>87</v>
      </c>
      <c r="D50" s="2" t="s">
        <v>88</v>
      </c>
      <c r="E50" s="3">
        <v>0</v>
      </c>
      <c r="F50" s="3">
        <v>0</v>
      </c>
      <c r="G50" s="3">
        <v>0.65</v>
      </c>
      <c r="H50" s="3">
        <v>0.31</v>
      </c>
      <c r="I50" s="3">
        <v>0.99</v>
      </c>
      <c r="J50" s="3">
        <v>0.25</v>
      </c>
      <c r="K50" s="3">
        <v>0.84</v>
      </c>
      <c r="L50" s="3">
        <v>0.9</v>
      </c>
      <c r="M50" s="3">
        <v>0.95</v>
      </c>
      <c r="N50" s="3">
        <v>3.63</v>
      </c>
      <c r="O50" s="3">
        <f>E50*Criterios_Match!$C$5</f>
        <v>0</v>
      </c>
      <c r="P50" s="3">
        <f>G50*Criterios_Match!$C$6</f>
        <v>11.700000000000001</v>
      </c>
      <c r="Q50" s="3">
        <f>H50*Criterios_Match!$C$7</f>
        <v>4.34</v>
      </c>
      <c r="R50" s="3">
        <f>I50*Criterios_Match!$C$8</f>
        <v>13.86</v>
      </c>
      <c r="S50" s="3">
        <f>J50*Criterios_Match!$C$9</f>
        <v>2.25</v>
      </c>
      <c r="T50" s="3">
        <f>K50*Criterios_Match!$C$10</f>
        <v>5.04</v>
      </c>
      <c r="U50" s="3">
        <f>L50*Criterios_Match!$C$11</f>
        <v>3.6</v>
      </c>
      <c r="V50" s="3">
        <f>M50*Criterios_Match!$C$12</f>
        <v>4.75</v>
      </c>
      <c r="W50" s="3">
        <f t="shared" si="2"/>
        <v>49.17</v>
      </c>
      <c r="X50" s="3">
        <f t="shared" si="3"/>
        <v>20</v>
      </c>
      <c r="Y50" s="2" t="s">
        <v>308</v>
      </c>
      <c r="Z50" s="2" t="s">
        <v>320</v>
      </c>
      <c r="AA50" s="2"/>
      <c r="AB50" s="2"/>
      <c r="AC50" s="2" t="s">
        <v>323</v>
      </c>
    </row>
    <row r="51" spans="1:29" ht="57">
      <c r="A51" s="2" t="s">
        <v>201</v>
      </c>
      <c r="B51" s="2" t="s">
        <v>202</v>
      </c>
      <c r="C51" s="2" t="s">
        <v>94</v>
      </c>
      <c r="D51" s="2" t="s">
        <v>95</v>
      </c>
      <c r="E51" s="3">
        <v>0.73</v>
      </c>
      <c r="F51" s="3">
        <v>0.2</v>
      </c>
      <c r="G51" s="3">
        <v>0.65</v>
      </c>
      <c r="H51" s="3">
        <v>0.78</v>
      </c>
      <c r="I51" s="3">
        <v>0.95</v>
      </c>
      <c r="J51" s="3">
        <v>1</v>
      </c>
      <c r="K51" s="3">
        <v>1</v>
      </c>
      <c r="L51" s="3">
        <v>0.85</v>
      </c>
      <c r="M51" s="3">
        <v>1</v>
      </c>
      <c r="N51" s="3">
        <v>7.29</v>
      </c>
      <c r="O51" s="3">
        <f>E51*Criterios_Match!$C$5</f>
        <v>21.9</v>
      </c>
      <c r="P51" s="3">
        <f>G51*Criterios_Match!$C$6</f>
        <v>11.700000000000001</v>
      </c>
      <c r="Q51" s="3">
        <f>H51*Criterios_Match!$C$7</f>
        <v>10.92</v>
      </c>
      <c r="R51" s="3">
        <f>I51*Criterios_Match!$C$8</f>
        <v>13.299999999999999</v>
      </c>
      <c r="S51" s="3">
        <f>J51*Criterios_Match!$C$9</f>
        <v>9</v>
      </c>
      <c r="T51" s="3">
        <f>K51*Criterios_Match!$C$10</f>
        <v>6</v>
      </c>
      <c r="U51" s="3">
        <f>L51*Criterios_Match!$C$11</f>
        <v>3.4</v>
      </c>
      <c r="V51" s="3">
        <f>M51*Criterios_Match!$C$12</f>
        <v>5</v>
      </c>
      <c r="W51" s="3">
        <f t="shared" si="2"/>
        <v>88.51</v>
      </c>
      <c r="X51" s="3">
        <f t="shared" si="3"/>
        <v>5</v>
      </c>
      <c r="Y51" s="2" t="s">
        <v>308</v>
      </c>
      <c r="Z51" s="2" t="s">
        <v>317</v>
      </c>
      <c r="AA51" s="2" t="s">
        <v>325</v>
      </c>
      <c r="AB51" s="2" t="s">
        <v>314</v>
      </c>
      <c r="AC51" s="2" t="s">
        <v>323</v>
      </c>
    </row>
    <row r="52" spans="1:29" ht="57">
      <c r="A52" s="2" t="s">
        <v>201</v>
      </c>
      <c r="B52" s="2" t="s">
        <v>202</v>
      </c>
      <c r="C52" s="2" t="s">
        <v>101</v>
      </c>
      <c r="D52" s="2" t="s">
        <v>102</v>
      </c>
      <c r="E52" s="3">
        <v>0</v>
      </c>
      <c r="F52" s="3">
        <v>0</v>
      </c>
      <c r="G52" s="3">
        <v>0.65</v>
      </c>
      <c r="H52" s="3">
        <v>0.54</v>
      </c>
      <c r="I52" s="3">
        <v>0.95</v>
      </c>
      <c r="J52" s="3">
        <v>0.9</v>
      </c>
      <c r="K52" s="3">
        <v>0.96</v>
      </c>
      <c r="L52" s="3">
        <v>0.95</v>
      </c>
      <c r="M52" s="3">
        <v>1</v>
      </c>
      <c r="N52" s="3">
        <v>6.27</v>
      </c>
      <c r="O52" s="3">
        <f>E52*Criterios_Match!$C$5</f>
        <v>0</v>
      </c>
      <c r="P52" s="3">
        <f>G52*Criterios_Match!$C$6</f>
        <v>11.700000000000001</v>
      </c>
      <c r="Q52" s="3">
        <f>H52*Criterios_Match!$C$7</f>
        <v>7.5600000000000005</v>
      </c>
      <c r="R52" s="3">
        <f>I52*Criterios_Match!$C$8</f>
        <v>13.299999999999999</v>
      </c>
      <c r="S52" s="3">
        <f>J52*Criterios_Match!$C$9</f>
        <v>8.1</v>
      </c>
      <c r="T52" s="3">
        <f>K52*Criterios_Match!$C$10</f>
        <v>5.76</v>
      </c>
      <c r="U52" s="3">
        <f>L52*Criterios_Match!$C$11</f>
        <v>3.8</v>
      </c>
      <c r="V52" s="3">
        <f>M52*Criterios_Match!$C$12</f>
        <v>5</v>
      </c>
      <c r="W52" s="3">
        <f t="shared" si="2"/>
        <v>61.49</v>
      </c>
      <c r="X52" s="3">
        <f t="shared" si="3"/>
        <v>13</v>
      </c>
      <c r="Y52" s="2" t="s">
        <v>308</v>
      </c>
      <c r="Z52" s="2" t="s">
        <v>325</v>
      </c>
      <c r="AA52" s="2" t="s">
        <v>314</v>
      </c>
      <c r="AB52" s="2"/>
      <c r="AC52" s="2" t="s">
        <v>323</v>
      </c>
    </row>
    <row r="53" spans="1:29" ht="57">
      <c r="A53" s="2" t="s">
        <v>201</v>
      </c>
      <c r="B53" s="2" t="s">
        <v>202</v>
      </c>
      <c r="C53" s="2" t="s">
        <v>106</v>
      </c>
      <c r="D53" s="2" t="s">
        <v>107</v>
      </c>
      <c r="E53" s="3">
        <v>0.47</v>
      </c>
      <c r="F53" s="3">
        <v>0.15</v>
      </c>
      <c r="G53" s="3">
        <v>0.65</v>
      </c>
      <c r="H53" s="3">
        <v>0.77</v>
      </c>
      <c r="I53" s="3">
        <v>0.99</v>
      </c>
      <c r="J53" s="3">
        <v>1</v>
      </c>
      <c r="K53" s="3">
        <v>1</v>
      </c>
      <c r="L53" s="3">
        <v>0.85</v>
      </c>
      <c r="M53" s="3">
        <v>0.95</v>
      </c>
      <c r="N53" s="3">
        <v>7.26</v>
      </c>
      <c r="O53" s="3">
        <f>E53*Criterios_Match!$C$5</f>
        <v>14.1</v>
      </c>
      <c r="P53" s="3">
        <f>G53*Criterios_Match!$C$6</f>
        <v>11.700000000000001</v>
      </c>
      <c r="Q53" s="3">
        <f>H53*Criterios_Match!$C$7</f>
        <v>10.780000000000001</v>
      </c>
      <c r="R53" s="3">
        <f>I53*Criterios_Match!$C$8</f>
        <v>13.86</v>
      </c>
      <c r="S53" s="3">
        <f>J53*Criterios_Match!$C$9</f>
        <v>9</v>
      </c>
      <c r="T53" s="3">
        <f>K53*Criterios_Match!$C$10</f>
        <v>6</v>
      </c>
      <c r="U53" s="3">
        <f>L53*Criterios_Match!$C$11</f>
        <v>3.4</v>
      </c>
      <c r="V53" s="3">
        <f>M53*Criterios_Match!$C$12</f>
        <v>4.75</v>
      </c>
      <c r="W53" s="3">
        <f t="shared" si="2"/>
        <v>80.849999999999994</v>
      </c>
      <c r="X53" s="3">
        <f t="shared" si="3"/>
        <v>7</v>
      </c>
      <c r="Y53" s="2" t="s">
        <v>308</v>
      </c>
      <c r="Z53" s="2" t="s">
        <v>313</v>
      </c>
      <c r="AA53" s="2" t="s">
        <v>325</v>
      </c>
      <c r="AB53" s="2" t="s">
        <v>314</v>
      </c>
      <c r="AC53" s="2" t="s">
        <v>323</v>
      </c>
    </row>
    <row r="54" spans="1:29" ht="57">
      <c r="A54" s="2" t="s">
        <v>201</v>
      </c>
      <c r="B54" s="2" t="s">
        <v>202</v>
      </c>
      <c r="C54" s="2" t="s">
        <v>115</v>
      </c>
      <c r="D54" s="2" t="s">
        <v>116</v>
      </c>
      <c r="E54" s="3">
        <v>0</v>
      </c>
      <c r="F54" s="3">
        <v>0</v>
      </c>
      <c r="G54" s="3">
        <v>0.65</v>
      </c>
      <c r="H54" s="3">
        <v>0.62</v>
      </c>
      <c r="I54" s="3">
        <v>0.95</v>
      </c>
      <c r="J54" s="3">
        <v>0.25</v>
      </c>
      <c r="K54" s="3">
        <v>0.99</v>
      </c>
      <c r="L54" s="3">
        <v>0.95</v>
      </c>
      <c r="M54" s="3">
        <v>1</v>
      </c>
      <c r="N54" s="3">
        <v>4.5599999999999996</v>
      </c>
      <c r="O54" s="3">
        <f>E54*Criterios_Match!$C$5</f>
        <v>0</v>
      </c>
      <c r="P54" s="3">
        <f>G54*Criterios_Match!$C$6</f>
        <v>11.700000000000001</v>
      </c>
      <c r="Q54" s="3">
        <f>H54*Criterios_Match!$C$7</f>
        <v>8.68</v>
      </c>
      <c r="R54" s="3">
        <f>I54*Criterios_Match!$C$8</f>
        <v>13.299999999999999</v>
      </c>
      <c r="S54" s="3">
        <f>J54*Criterios_Match!$C$9</f>
        <v>2.25</v>
      </c>
      <c r="T54" s="3">
        <f>K54*Criterios_Match!$C$10</f>
        <v>5.9399999999999995</v>
      </c>
      <c r="U54" s="3">
        <f>L54*Criterios_Match!$C$11</f>
        <v>3.8</v>
      </c>
      <c r="V54" s="3">
        <f>M54*Criterios_Match!$C$12</f>
        <v>5</v>
      </c>
      <c r="W54" s="3">
        <f t="shared" si="2"/>
        <v>55.23</v>
      </c>
      <c r="X54" s="3">
        <f t="shared" si="3"/>
        <v>18</v>
      </c>
      <c r="Y54" s="2" t="s">
        <v>308</v>
      </c>
      <c r="Z54" s="2" t="s">
        <v>314</v>
      </c>
      <c r="AA54" s="2"/>
      <c r="AB54" s="2"/>
      <c r="AC54" s="2" t="s">
        <v>323</v>
      </c>
    </row>
    <row r="55" spans="1:29" ht="57">
      <c r="A55" s="2" t="s">
        <v>201</v>
      </c>
      <c r="B55" s="2" t="s">
        <v>202</v>
      </c>
      <c r="C55" s="2" t="s">
        <v>119</v>
      </c>
      <c r="D55" s="2" t="s">
        <v>120</v>
      </c>
      <c r="E55" s="3">
        <v>0.73</v>
      </c>
      <c r="F55" s="3">
        <v>0.2</v>
      </c>
      <c r="G55" s="3">
        <v>0.65</v>
      </c>
      <c r="H55" s="3">
        <v>0.86</v>
      </c>
      <c r="I55" s="3">
        <v>0.95</v>
      </c>
      <c r="J55" s="3">
        <v>0.9</v>
      </c>
      <c r="K55" s="3">
        <v>0.9</v>
      </c>
      <c r="L55" s="3">
        <v>1</v>
      </c>
      <c r="M55" s="3">
        <v>1</v>
      </c>
      <c r="N55" s="3">
        <v>7.23</v>
      </c>
      <c r="O55" s="3">
        <f>E55*Criterios_Match!$C$5</f>
        <v>21.9</v>
      </c>
      <c r="P55" s="3">
        <f>G55*Criterios_Match!$C$6</f>
        <v>11.700000000000001</v>
      </c>
      <c r="Q55" s="3">
        <f>H55*Criterios_Match!$C$7</f>
        <v>12.04</v>
      </c>
      <c r="R55" s="3">
        <f>I55*Criterios_Match!$C$8</f>
        <v>13.299999999999999</v>
      </c>
      <c r="S55" s="3">
        <f>J55*Criterios_Match!$C$9</f>
        <v>8.1</v>
      </c>
      <c r="T55" s="3">
        <f>K55*Criterios_Match!$C$10</f>
        <v>5.4</v>
      </c>
      <c r="U55" s="3">
        <f>L55*Criterios_Match!$C$11</f>
        <v>4</v>
      </c>
      <c r="V55" s="3">
        <f>M55*Criterios_Match!$C$12</f>
        <v>5</v>
      </c>
      <c r="W55" s="3">
        <f t="shared" si="2"/>
        <v>88.67</v>
      </c>
      <c r="X55" s="3">
        <f t="shared" si="3"/>
        <v>3</v>
      </c>
      <c r="Y55" s="2" t="s">
        <v>308</v>
      </c>
      <c r="Z55" s="2" t="s">
        <v>317</v>
      </c>
      <c r="AA55" s="2" t="s">
        <v>325</v>
      </c>
      <c r="AB55" s="2" t="s">
        <v>311</v>
      </c>
      <c r="AC55" s="2" t="s">
        <v>323</v>
      </c>
    </row>
    <row r="56" spans="1:29" ht="57">
      <c r="A56" s="2" t="s">
        <v>201</v>
      </c>
      <c r="B56" s="2" t="s">
        <v>202</v>
      </c>
      <c r="C56" s="2" t="s">
        <v>126</v>
      </c>
      <c r="D56" s="2" t="s">
        <v>127</v>
      </c>
      <c r="E56" s="3">
        <v>0.3</v>
      </c>
      <c r="F56" s="3">
        <v>0</v>
      </c>
      <c r="G56" s="3">
        <v>0.65</v>
      </c>
      <c r="H56" s="3">
        <v>0.74</v>
      </c>
      <c r="I56" s="3">
        <v>0.99</v>
      </c>
      <c r="J56" s="3">
        <v>1</v>
      </c>
      <c r="K56" s="3">
        <v>1</v>
      </c>
      <c r="L56" s="3">
        <v>0.85</v>
      </c>
      <c r="M56" s="3">
        <v>1</v>
      </c>
      <c r="N56" s="3">
        <v>7.17</v>
      </c>
      <c r="O56" s="3">
        <f>E56*Criterios_Match!$C$5</f>
        <v>9</v>
      </c>
      <c r="P56" s="3">
        <f>G56*Criterios_Match!$C$6</f>
        <v>11.700000000000001</v>
      </c>
      <c r="Q56" s="3">
        <f>H56*Criterios_Match!$C$7</f>
        <v>10.36</v>
      </c>
      <c r="R56" s="3">
        <f>I56*Criterios_Match!$C$8</f>
        <v>13.86</v>
      </c>
      <c r="S56" s="3">
        <f>J56*Criterios_Match!$C$9</f>
        <v>9</v>
      </c>
      <c r="T56" s="3">
        <f>K56*Criterios_Match!$C$10</f>
        <v>6</v>
      </c>
      <c r="U56" s="3">
        <f>L56*Criterios_Match!$C$11</f>
        <v>3.4</v>
      </c>
      <c r="V56" s="3">
        <f>M56*Criterios_Match!$C$12</f>
        <v>5</v>
      </c>
      <c r="W56" s="3">
        <f t="shared" si="2"/>
        <v>75.489999999999995</v>
      </c>
      <c r="X56" s="3">
        <f t="shared" si="3"/>
        <v>10</v>
      </c>
      <c r="Y56" s="2" t="s">
        <v>308</v>
      </c>
      <c r="Z56" s="2" t="s">
        <v>325</v>
      </c>
      <c r="AA56" s="2" t="s">
        <v>314</v>
      </c>
      <c r="AB56" s="2"/>
      <c r="AC56" s="2" t="s">
        <v>323</v>
      </c>
    </row>
    <row r="57" spans="1:29" ht="57">
      <c r="A57" s="2" t="s">
        <v>201</v>
      </c>
      <c r="B57" s="2" t="s">
        <v>202</v>
      </c>
      <c r="C57" s="2" t="s">
        <v>133</v>
      </c>
      <c r="D57" s="2" t="s">
        <v>134</v>
      </c>
      <c r="E57" s="3">
        <v>0.08</v>
      </c>
      <c r="F57" s="3">
        <v>0</v>
      </c>
      <c r="G57" s="3">
        <v>0.65</v>
      </c>
      <c r="H57" s="3">
        <v>0.62</v>
      </c>
      <c r="I57" s="3">
        <v>0.99</v>
      </c>
      <c r="J57" s="3">
        <v>0.25</v>
      </c>
      <c r="K57" s="3">
        <v>0.93</v>
      </c>
      <c r="L57" s="3">
        <v>1</v>
      </c>
      <c r="M57" s="3">
        <v>0.95</v>
      </c>
      <c r="N57" s="3">
        <v>4.5599999999999996</v>
      </c>
      <c r="O57" s="3">
        <f>E57*Criterios_Match!$C$5</f>
        <v>2.4</v>
      </c>
      <c r="P57" s="3">
        <f>G57*Criterios_Match!$C$6</f>
        <v>11.700000000000001</v>
      </c>
      <c r="Q57" s="3">
        <f>H57*Criterios_Match!$C$7</f>
        <v>8.68</v>
      </c>
      <c r="R57" s="3">
        <f>I57*Criterios_Match!$C$8</f>
        <v>13.86</v>
      </c>
      <c r="S57" s="3">
        <f>J57*Criterios_Match!$C$9</f>
        <v>2.25</v>
      </c>
      <c r="T57" s="3">
        <f>K57*Criterios_Match!$C$10</f>
        <v>5.58</v>
      </c>
      <c r="U57" s="3">
        <f>L57*Criterios_Match!$C$11</f>
        <v>4</v>
      </c>
      <c r="V57" s="3">
        <f>M57*Criterios_Match!$C$12</f>
        <v>4.75</v>
      </c>
      <c r="W57" s="3">
        <f t="shared" si="2"/>
        <v>57.78</v>
      </c>
      <c r="X57" s="3">
        <f t="shared" si="3"/>
        <v>15</v>
      </c>
      <c r="Y57" s="2" t="s">
        <v>308</v>
      </c>
      <c r="Z57" s="2" t="s">
        <v>314</v>
      </c>
      <c r="AA57" s="2"/>
      <c r="AB57" s="2"/>
      <c r="AC57" s="2" t="s">
        <v>323</v>
      </c>
    </row>
    <row r="58" spans="1:29" ht="57">
      <c r="A58" s="2" t="s">
        <v>201</v>
      </c>
      <c r="B58" s="2" t="s">
        <v>202</v>
      </c>
      <c r="C58" s="2" t="s">
        <v>138</v>
      </c>
      <c r="D58" s="2" t="s">
        <v>139</v>
      </c>
      <c r="E58" s="3">
        <v>0.73</v>
      </c>
      <c r="F58" s="3">
        <v>0.2</v>
      </c>
      <c r="G58" s="3">
        <v>0.65</v>
      </c>
      <c r="H58" s="3">
        <v>0.9</v>
      </c>
      <c r="I58" s="3">
        <v>0.95</v>
      </c>
      <c r="J58" s="3">
        <v>0.25</v>
      </c>
      <c r="K58" s="3">
        <v>1</v>
      </c>
      <c r="L58" s="3">
        <v>1</v>
      </c>
      <c r="M58" s="3">
        <v>1</v>
      </c>
      <c r="N58" s="3">
        <v>5.4</v>
      </c>
      <c r="O58" s="3">
        <f>E58*Criterios_Match!$C$5</f>
        <v>21.9</v>
      </c>
      <c r="P58" s="3">
        <f>G58*Criterios_Match!$C$6</f>
        <v>11.700000000000001</v>
      </c>
      <c r="Q58" s="3">
        <f>H58*Criterios_Match!$C$7</f>
        <v>12.6</v>
      </c>
      <c r="R58" s="3">
        <f>I58*Criterios_Match!$C$8</f>
        <v>13.299999999999999</v>
      </c>
      <c r="S58" s="3">
        <f>J58*Criterios_Match!$C$9</f>
        <v>2.25</v>
      </c>
      <c r="T58" s="3">
        <f>K58*Criterios_Match!$C$10</f>
        <v>6</v>
      </c>
      <c r="U58" s="3">
        <f>L58*Criterios_Match!$C$11</f>
        <v>4</v>
      </c>
      <c r="V58" s="3">
        <f>M58*Criterios_Match!$C$12</f>
        <v>5</v>
      </c>
      <c r="W58" s="3">
        <f t="shared" si="2"/>
        <v>82.15</v>
      </c>
      <c r="X58" s="3">
        <f t="shared" si="3"/>
        <v>6</v>
      </c>
      <c r="Y58" s="2" t="s">
        <v>308</v>
      </c>
      <c r="Z58" s="2" t="s">
        <v>317</v>
      </c>
      <c r="AA58" s="2" t="s">
        <v>311</v>
      </c>
      <c r="AB58" s="2" t="s">
        <v>314</v>
      </c>
      <c r="AC58" s="2" t="s">
        <v>323</v>
      </c>
    </row>
    <row r="59" spans="1:29" ht="28.5">
      <c r="A59" s="2" t="s">
        <v>201</v>
      </c>
      <c r="B59" s="2" t="s">
        <v>202</v>
      </c>
      <c r="C59" s="2" t="s">
        <v>142</v>
      </c>
      <c r="D59" s="2" t="s">
        <v>143</v>
      </c>
      <c r="E59" s="3">
        <v>1</v>
      </c>
      <c r="F59" s="3">
        <v>1</v>
      </c>
      <c r="G59" s="3">
        <v>0.65</v>
      </c>
      <c r="H59" s="3">
        <v>0.89</v>
      </c>
      <c r="I59" s="3">
        <v>0.99</v>
      </c>
      <c r="J59" s="3">
        <v>1</v>
      </c>
      <c r="K59" s="3">
        <v>0.99</v>
      </c>
      <c r="L59" s="3">
        <v>0.85</v>
      </c>
      <c r="M59" s="3">
        <v>0.95</v>
      </c>
      <c r="N59" s="3">
        <v>7.62</v>
      </c>
      <c r="O59" s="3">
        <f>E59*Criterios_Match!$C$5</f>
        <v>30</v>
      </c>
      <c r="P59" s="3">
        <f>G59*Criterios_Match!$C$6</f>
        <v>11.700000000000001</v>
      </c>
      <c r="Q59" s="3">
        <f>H59*Criterios_Match!$C$7</f>
        <v>12.46</v>
      </c>
      <c r="R59" s="3">
        <f>I59*Criterios_Match!$C$8</f>
        <v>13.86</v>
      </c>
      <c r="S59" s="3">
        <f>J59*Criterios_Match!$C$9</f>
        <v>9</v>
      </c>
      <c r="T59" s="3">
        <f>K59*Criterios_Match!$C$10</f>
        <v>5.9399999999999995</v>
      </c>
      <c r="U59" s="3">
        <f>L59*Criterios_Match!$C$11</f>
        <v>3.4</v>
      </c>
      <c r="V59" s="3">
        <f>M59*Criterios_Match!$C$12</f>
        <v>4.75</v>
      </c>
      <c r="W59" s="3">
        <f t="shared" si="2"/>
        <v>98.73</v>
      </c>
      <c r="X59" s="3">
        <f t="shared" si="3"/>
        <v>1</v>
      </c>
      <c r="Y59" s="2" t="s">
        <v>316</v>
      </c>
      <c r="Z59" s="2" t="s">
        <v>324</v>
      </c>
      <c r="AA59" s="2" t="s">
        <v>325</v>
      </c>
      <c r="AB59" s="2" t="s">
        <v>311</v>
      </c>
      <c r="AC59" s="2" t="s">
        <v>326</v>
      </c>
    </row>
    <row r="60" spans="1:29" ht="57">
      <c r="A60" s="2" t="s">
        <v>201</v>
      </c>
      <c r="B60" s="2" t="s">
        <v>202</v>
      </c>
      <c r="C60" s="2" t="s">
        <v>146</v>
      </c>
      <c r="D60" s="2" t="s">
        <v>147</v>
      </c>
      <c r="E60" s="3">
        <v>0</v>
      </c>
      <c r="F60" s="3">
        <v>0</v>
      </c>
      <c r="G60" s="3">
        <v>0.65</v>
      </c>
      <c r="H60" s="3">
        <v>0.26</v>
      </c>
      <c r="I60" s="3">
        <v>0.99</v>
      </c>
      <c r="J60" s="3">
        <v>0.9</v>
      </c>
      <c r="K60" s="3">
        <v>0.72</v>
      </c>
      <c r="L60" s="3">
        <v>0.9</v>
      </c>
      <c r="M60" s="3">
        <v>0.95</v>
      </c>
      <c r="N60" s="3">
        <v>5.43</v>
      </c>
      <c r="O60" s="3">
        <f>E60*Criterios_Match!$C$5</f>
        <v>0</v>
      </c>
      <c r="P60" s="3">
        <f>G60*Criterios_Match!$C$6</f>
        <v>11.700000000000001</v>
      </c>
      <c r="Q60" s="3">
        <f>H60*Criterios_Match!$C$7</f>
        <v>3.64</v>
      </c>
      <c r="R60" s="3">
        <f>I60*Criterios_Match!$C$8</f>
        <v>13.86</v>
      </c>
      <c r="S60" s="3">
        <f>J60*Criterios_Match!$C$9</f>
        <v>8.1</v>
      </c>
      <c r="T60" s="3">
        <f>K60*Criterios_Match!$C$10</f>
        <v>4.32</v>
      </c>
      <c r="U60" s="3">
        <f>L60*Criterios_Match!$C$11</f>
        <v>3.6</v>
      </c>
      <c r="V60" s="3">
        <f>M60*Criterios_Match!$C$12</f>
        <v>4.75</v>
      </c>
      <c r="W60" s="3">
        <f t="shared" si="2"/>
        <v>55.4</v>
      </c>
      <c r="X60" s="3">
        <f t="shared" si="3"/>
        <v>17</v>
      </c>
      <c r="Y60" s="2" t="s">
        <v>308</v>
      </c>
      <c r="Z60" s="2" t="s">
        <v>325</v>
      </c>
      <c r="AA60" s="2"/>
      <c r="AB60" s="2"/>
      <c r="AC60" s="2" t="s">
        <v>323</v>
      </c>
    </row>
    <row r="61" spans="1:29" ht="57">
      <c r="A61" s="2" t="s">
        <v>201</v>
      </c>
      <c r="B61" s="2" t="s">
        <v>202</v>
      </c>
      <c r="C61" s="2" t="s">
        <v>149</v>
      </c>
      <c r="D61" s="2" t="s">
        <v>150</v>
      </c>
      <c r="E61" s="3">
        <v>0.08</v>
      </c>
      <c r="F61" s="3">
        <v>0</v>
      </c>
      <c r="G61" s="3">
        <v>0.65</v>
      </c>
      <c r="H61" s="3">
        <v>0.72</v>
      </c>
      <c r="I61" s="3">
        <v>0.99</v>
      </c>
      <c r="J61" s="3">
        <v>0.25</v>
      </c>
      <c r="K61" s="3">
        <v>1</v>
      </c>
      <c r="L61" s="3">
        <v>0.95</v>
      </c>
      <c r="M61" s="3">
        <v>0.95</v>
      </c>
      <c r="N61" s="3">
        <v>4.8600000000000003</v>
      </c>
      <c r="O61" s="3">
        <f>E61*Criterios_Match!$C$5</f>
        <v>2.4</v>
      </c>
      <c r="P61" s="3">
        <f>G61*Criterios_Match!$C$6</f>
        <v>11.700000000000001</v>
      </c>
      <c r="Q61" s="3">
        <f>H61*Criterios_Match!$C$7</f>
        <v>10.08</v>
      </c>
      <c r="R61" s="3">
        <f>I61*Criterios_Match!$C$8</f>
        <v>13.86</v>
      </c>
      <c r="S61" s="3">
        <f>J61*Criterios_Match!$C$9</f>
        <v>2.25</v>
      </c>
      <c r="T61" s="3">
        <f>K61*Criterios_Match!$C$10</f>
        <v>6</v>
      </c>
      <c r="U61" s="3">
        <f>L61*Criterios_Match!$C$11</f>
        <v>3.8</v>
      </c>
      <c r="V61" s="3">
        <f>M61*Criterios_Match!$C$12</f>
        <v>4.75</v>
      </c>
      <c r="W61" s="3">
        <f t="shared" si="2"/>
        <v>59.7</v>
      </c>
      <c r="X61" s="3">
        <f t="shared" si="3"/>
        <v>14</v>
      </c>
      <c r="Y61" s="2" t="s">
        <v>308</v>
      </c>
      <c r="Z61" s="2" t="s">
        <v>314</v>
      </c>
      <c r="AA61" s="2"/>
      <c r="AB61" s="2"/>
      <c r="AC61" s="2" t="s">
        <v>323</v>
      </c>
    </row>
    <row r="62" spans="1:29" ht="57">
      <c r="A62" s="2" t="s">
        <v>201</v>
      </c>
      <c r="B62" s="2" t="s">
        <v>202</v>
      </c>
      <c r="C62" s="2" t="s">
        <v>153</v>
      </c>
      <c r="D62" s="2" t="s">
        <v>154</v>
      </c>
      <c r="E62" s="3">
        <v>0.52</v>
      </c>
      <c r="F62" s="3">
        <v>0</v>
      </c>
      <c r="G62" s="3">
        <v>0.65</v>
      </c>
      <c r="H62" s="3">
        <v>0.74</v>
      </c>
      <c r="I62" s="3">
        <v>0.91</v>
      </c>
      <c r="J62" s="3">
        <v>0.9</v>
      </c>
      <c r="K62" s="3">
        <v>0.9</v>
      </c>
      <c r="L62" s="3">
        <v>0.85</v>
      </c>
      <c r="M62" s="3">
        <v>1</v>
      </c>
      <c r="N62" s="3">
        <v>6.87</v>
      </c>
      <c r="O62" s="3">
        <f>E62*Criterios_Match!$C$5</f>
        <v>15.600000000000001</v>
      </c>
      <c r="P62" s="3">
        <f>G62*Criterios_Match!$C$6</f>
        <v>11.700000000000001</v>
      </c>
      <c r="Q62" s="3">
        <f>H62*Criterios_Match!$C$7</f>
        <v>10.36</v>
      </c>
      <c r="R62" s="3">
        <f>I62*Criterios_Match!$C$8</f>
        <v>12.74</v>
      </c>
      <c r="S62" s="3">
        <f>J62*Criterios_Match!$C$9</f>
        <v>8.1</v>
      </c>
      <c r="T62" s="3">
        <f>K62*Criterios_Match!$C$10</f>
        <v>5.4</v>
      </c>
      <c r="U62" s="3">
        <f>L62*Criterios_Match!$C$11</f>
        <v>3.4</v>
      </c>
      <c r="V62" s="3">
        <f>M62*Criterios_Match!$C$12</f>
        <v>5</v>
      </c>
      <c r="W62" s="3">
        <f t="shared" si="2"/>
        <v>79.17</v>
      </c>
      <c r="X62" s="3">
        <f t="shared" si="3"/>
        <v>9</v>
      </c>
      <c r="Y62" s="2" t="s">
        <v>308</v>
      </c>
      <c r="Z62" s="2" t="s">
        <v>313</v>
      </c>
      <c r="AA62" s="2" t="s">
        <v>325</v>
      </c>
      <c r="AB62" s="2" t="s">
        <v>314</v>
      </c>
      <c r="AC62" s="2" t="s">
        <v>323</v>
      </c>
    </row>
    <row r="63" spans="1:29" ht="57">
      <c r="A63" s="2" t="s">
        <v>201</v>
      </c>
      <c r="B63" s="2" t="s">
        <v>202</v>
      </c>
      <c r="C63" s="2" t="s">
        <v>158</v>
      </c>
      <c r="D63" s="2" t="s">
        <v>159</v>
      </c>
      <c r="E63" s="3">
        <v>0.73</v>
      </c>
      <c r="F63" s="3">
        <v>0.2</v>
      </c>
      <c r="G63" s="3">
        <v>0.65</v>
      </c>
      <c r="H63" s="3">
        <v>0.76</v>
      </c>
      <c r="I63" s="3">
        <v>0.95</v>
      </c>
      <c r="J63" s="3">
        <v>1</v>
      </c>
      <c r="K63" s="3">
        <v>0.96</v>
      </c>
      <c r="L63" s="3">
        <v>1</v>
      </c>
      <c r="M63" s="3">
        <v>1</v>
      </c>
      <c r="N63" s="3">
        <v>7.23</v>
      </c>
      <c r="O63" s="3">
        <f>E63*Criterios_Match!$C$5</f>
        <v>21.9</v>
      </c>
      <c r="P63" s="3">
        <f>G63*Criterios_Match!$C$6</f>
        <v>11.700000000000001</v>
      </c>
      <c r="Q63" s="3">
        <f>H63*Criterios_Match!$C$7</f>
        <v>10.64</v>
      </c>
      <c r="R63" s="3">
        <f>I63*Criterios_Match!$C$8</f>
        <v>13.299999999999999</v>
      </c>
      <c r="S63" s="3">
        <f>J63*Criterios_Match!$C$9</f>
        <v>9</v>
      </c>
      <c r="T63" s="3">
        <f>K63*Criterios_Match!$C$10</f>
        <v>5.76</v>
      </c>
      <c r="U63" s="3">
        <f>L63*Criterios_Match!$C$11</f>
        <v>4</v>
      </c>
      <c r="V63" s="3">
        <f>M63*Criterios_Match!$C$12</f>
        <v>5</v>
      </c>
      <c r="W63" s="3">
        <f t="shared" si="2"/>
        <v>88.53</v>
      </c>
      <c r="X63" s="3">
        <f t="shared" si="3"/>
        <v>4</v>
      </c>
      <c r="Y63" s="2" t="s">
        <v>308</v>
      </c>
      <c r="Z63" s="2" t="s">
        <v>317</v>
      </c>
      <c r="AA63" s="2" t="s">
        <v>325</v>
      </c>
      <c r="AB63" s="2" t="s">
        <v>314</v>
      </c>
      <c r="AC63" s="2" t="s">
        <v>323</v>
      </c>
    </row>
    <row r="64" spans="1:29" ht="57">
      <c r="A64" s="2" t="s">
        <v>201</v>
      </c>
      <c r="B64" s="2" t="s">
        <v>202</v>
      </c>
      <c r="C64" s="2" t="s">
        <v>162</v>
      </c>
      <c r="D64" s="2" t="s">
        <v>163</v>
      </c>
      <c r="E64" s="3">
        <v>0.47</v>
      </c>
      <c r="F64" s="3">
        <v>0.15</v>
      </c>
      <c r="G64" s="3">
        <v>0.65</v>
      </c>
      <c r="H64" s="3">
        <v>0.77</v>
      </c>
      <c r="I64" s="3">
        <v>0.99</v>
      </c>
      <c r="J64" s="3">
        <v>0.9</v>
      </c>
      <c r="K64" s="3">
        <v>1</v>
      </c>
      <c r="L64" s="3">
        <v>0.85</v>
      </c>
      <c r="M64" s="3">
        <v>0.95</v>
      </c>
      <c r="N64" s="3">
        <v>6.96</v>
      </c>
      <c r="O64" s="3">
        <f>E64*Criterios_Match!$C$5</f>
        <v>14.1</v>
      </c>
      <c r="P64" s="3">
        <f>G64*Criterios_Match!$C$6</f>
        <v>11.700000000000001</v>
      </c>
      <c r="Q64" s="3">
        <f>H64*Criterios_Match!$C$7</f>
        <v>10.780000000000001</v>
      </c>
      <c r="R64" s="3">
        <f>I64*Criterios_Match!$C$8</f>
        <v>13.86</v>
      </c>
      <c r="S64" s="3">
        <f>J64*Criterios_Match!$C$9</f>
        <v>8.1</v>
      </c>
      <c r="T64" s="3">
        <f>K64*Criterios_Match!$C$10</f>
        <v>6</v>
      </c>
      <c r="U64" s="3">
        <f>L64*Criterios_Match!$C$11</f>
        <v>3.4</v>
      </c>
      <c r="V64" s="3">
        <f>M64*Criterios_Match!$C$12</f>
        <v>4.75</v>
      </c>
      <c r="W64" s="3">
        <f t="shared" si="2"/>
        <v>79.650000000000006</v>
      </c>
      <c r="X64" s="3">
        <f t="shared" si="3"/>
        <v>8</v>
      </c>
      <c r="Y64" s="2" t="s">
        <v>308</v>
      </c>
      <c r="Z64" s="2" t="s">
        <v>313</v>
      </c>
      <c r="AA64" s="2" t="s">
        <v>325</v>
      </c>
      <c r="AB64" s="2" t="s">
        <v>314</v>
      </c>
      <c r="AC64" s="2" t="s">
        <v>323</v>
      </c>
    </row>
    <row r="65" spans="1:29" ht="57">
      <c r="A65" s="2" t="s">
        <v>211</v>
      </c>
      <c r="B65" s="2" t="s">
        <v>212</v>
      </c>
      <c r="C65" s="2" t="s">
        <v>41</v>
      </c>
      <c r="D65" s="2" t="s">
        <v>42</v>
      </c>
      <c r="E65" s="3">
        <v>0.13</v>
      </c>
      <c r="F65" s="3">
        <v>0</v>
      </c>
      <c r="G65" s="3">
        <v>0.35</v>
      </c>
      <c r="H65" s="3">
        <v>1</v>
      </c>
      <c r="I65" s="3">
        <v>0.75</v>
      </c>
      <c r="J65" s="3">
        <v>0.25</v>
      </c>
      <c r="K65" s="3">
        <v>1</v>
      </c>
      <c r="L65" s="3">
        <v>1</v>
      </c>
      <c r="M65" s="3">
        <v>1</v>
      </c>
      <c r="N65" s="3">
        <v>5.75</v>
      </c>
      <c r="O65" s="3">
        <f>E65*Criterios_Match!$C$5</f>
        <v>3.9000000000000004</v>
      </c>
      <c r="P65" s="3">
        <f>G65*Criterios_Match!$C$6</f>
        <v>6.3</v>
      </c>
      <c r="Q65" s="3">
        <f>H65*Criterios_Match!$C$7</f>
        <v>14</v>
      </c>
      <c r="R65" s="3">
        <f>I65*Criterios_Match!$C$8</f>
        <v>10.5</v>
      </c>
      <c r="S65" s="3">
        <f>J65*Criterios_Match!$C$9</f>
        <v>2.25</v>
      </c>
      <c r="T65" s="3">
        <f>K65*Criterios_Match!$C$10</f>
        <v>6</v>
      </c>
      <c r="U65" s="3">
        <f>L65*Criterios_Match!$C$11</f>
        <v>4</v>
      </c>
      <c r="V65" s="3">
        <f>M65*Criterios_Match!$C$12</f>
        <v>5</v>
      </c>
      <c r="W65" s="3">
        <f t="shared" si="2"/>
        <v>57.7</v>
      </c>
      <c r="X65" s="3">
        <f t="shared" si="3"/>
        <v>15</v>
      </c>
      <c r="Y65" s="2" t="s">
        <v>308</v>
      </c>
      <c r="Z65" s="2" t="s">
        <v>314</v>
      </c>
      <c r="AA65" s="2"/>
      <c r="AB65" s="2"/>
      <c r="AC65" s="2" t="s">
        <v>319</v>
      </c>
    </row>
    <row r="66" spans="1:29" ht="57">
      <c r="A66" s="2" t="s">
        <v>211</v>
      </c>
      <c r="B66" s="2" t="s">
        <v>212</v>
      </c>
      <c r="C66" s="2" t="s">
        <v>51</v>
      </c>
      <c r="D66" s="2" t="s">
        <v>52</v>
      </c>
      <c r="E66" s="3">
        <v>0.33</v>
      </c>
      <c r="F66" s="3">
        <v>0</v>
      </c>
      <c r="G66" s="3">
        <v>0.35</v>
      </c>
      <c r="H66" s="3">
        <v>0.91</v>
      </c>
      <c r="I66" s="3">
        <v>0.95</v>
      </c>
      <c r="J66" s="3">
        <v>0.25</v>
      </c>
      <c r="K66" s="3">
        <v>0.9</v>
      </c>
      <c r="L66" s="3">
        <v>0.9</v>
      </c>
      <c r="M66" s="3">
        <v>0.95</v>
      </c>
      <c r="N66" s="3">
        <v>6.15</v>
      </c>
      <c r="O66" s="3">
        <f>E66*Criterios_Match!$C$5</f>
        <v>9.9</v>
      </c>
      <c r="P66" s="3">
        <f>G66*Criterios_Match!$C$6</f>
        <v>6.3</v>
      </c>
      <c r="Q66" s="3">
        <f>H66*Criterios_Match!$C$7</f>
        <v>12.74</v>
      </c>
      <c r="R66" s="3">
        <f>I66*Criterios_Match!$C$8</f>
        <v>13.299999999999999</v>
      </c>
      <c r="S66" s="3">
        <f>J66*Criterios_Match!$C$9</f>
        <v>2.25</v>
      </c>
      <c r="T66" s="3">
        <f>K66*Criterios_Match!$C$10</f>
        <v>5.4</v>
      </c>
      <c r="U66" s="3">
        <f>L66*Criterios_Match!$C$11</f>
        <v>3.6</v>
      </c>
      <c r="V66" s="3">
        <f>M66*Criterios_Match!$C$12</f>
        <v>4.75</v>
      </c>
      <c r="W66" s="3">
        <f t="shared" si="2"/>
        <v>64.39</v>
      </c>
      <c r="X66" s="3">
        <f t="shared" si="3"/>
        <v>11</v>
      </c>
      <c r="Y66" s="2" t="s">
        <v>308</v>
      </c>
      <c r="Z66" s="2" t="s">
        <v>315</v>
      </c>
      <c r="AA66" s="2" t="s">
        <v>314</v>
      </c>
      <c r="AB66" s="2"/>
      <c r="AC66" s="2" t="s">
        <v>319</v>
      </c>
    </row>
    <row r="67" spans="1:29" ht="57">
      <c r="A67" s="2" t="s">
        <v>211</v>
      </c>
      <c r="B67" s="2" t="s">
        <v>212</v>
      </c>
      <c r="C67" s="2" t="s">
        <v>62</v>
      </c>
      <c r="D67" s="2" t="s">
        <v>63</v>
      </c>
      <c r="E67" s="3">
        <v>0.67</v>
      </c>
      <c r="F67" s="3">
        <v>0</v>
      </c>
      <c r="G67" s="3">
        <v>0.75</v>
      </c>
      <c r="H67" s="3">
        <v>0.99</v>
      </c>
      <c r="I67" s="3">
        <v>0.95</v>
      </c>
      <c r="J67" s="3">
        <v>1</v>
      </c>
      <c r="K67" s="3">
        <v>1</v>
      </c>
      <c r="L67" s="3">
        <v>0.85</v>
      </c>
      <c r="M67" s="3">
        <v>0.95</v>
      </c>
      <c r="N67" s="3">
        <v>6.35</v>
      </c>
      <c r="O67" s="3">
        <f>E67*Criterios_Match!$C$5</f>
        <v>20.100000000000001</v>
      </c>
      <c r="P67" s="3">
        <f>G67*Criterios_Match!$C$6</f>
        <v>13.5</v>
      </c>
      <c r="Q67" s="3">
        <f>H67*Criterios_Match!$C$7</f>
        <v>13.86</v>
      </c>
      <c r="R67" s="3">
        <f>I67*Criterios_Match!$C$8</f>
        <v>13.299999999999999</v>
      </c>
      <c r="S67" s="3">
        <f>J67*Criterios_Match!$C$9</f>
        <v>9</v>
      </c>
      <c r="T67" s="3">
        <f>K67*Criterios_Match!$C$10</f>
        <v>6</v>
      </c>
      <c r="U67" s="3">
        <f>L67*Criterios_Match!$C$11</f>
        <v>3.4</v>
      </c>
      <c r="V67" s="3">
        <f>M67*Criterios_Match!$C$12</f>
        <v>4.75</v>
      </c>
      <c r="W67" s="3">
        <f t="shared" si="2"/>
        <v>90.26</v>
      </c>
      <c r="X67" s="3">
        <f t="shared" si="3"/>
        <v>1</v>
      </c>
      <c r="Y67" s="2" t="s">
        <v>308</v>
      </c>
      <c r="Z67" s="2" t="s">
        <v>313</v>
      </c>
      <c r="AA67" s="2" t="s">
        <v>327</v>
      </c>
      <c r="AB67" s="2" t="s">
        <v>310</v>
      </c>
      <c r="AC67" s="2" t="s">
        <v>319</v>
      </c>
    </row>
    <row r="68" spans="1:29" ht="57">
      <c r="A68" s="2" t="s">
        <v>211</v>
      </c>
      <c r="B68" s="2" t="s">
        <v>212</v>
      </c>
      <c r="C68" s="2" t="s">
        <v>71</v>
      </c>
      <c r="D68" s="2" t="s">
        <v>72</v>
      </c>
      <c r="E68" s="3">
        <v>0.4</v>
      </c>
      <c r="F68" s="3">
        <v>0</v>
      </c>
      <c r="G68" s="3">
        <v>0.05</v>
      </c>
      <c r="H68" s="3">
        <v>0.95</v>
      </c>
      <c r="I68" s="3">
        <v>0.55000000000000004</v>
      </c>
      <c r="J68" s="3">
        <v>0.25</v>
      </c>
      <c r="K68" s="3">
        <v>0.75</v>
      </c>
      <c r="L68" s="3">
        <v>0.85</v>
      </c>
      <c r="M68" s="3">
        <v>1</v>
      </c>
      <c r="N68" s="3">
        <v>4.6500000000000004</v>
      </c>
      <c r="O68" s="3">
        <f>E68*Criterios_Match!$C$5</f>
        <v>12</v>
      </c>
      <c r="P68" s="3">
        <f>G68*Criterios_Match!$C$6</f>
        <v>0.9</v>
      </c>
      <c r="Q68" s="3">
        <f>H68*Criterios_Match!$C$7</f>
        <v>13.299999999999999</v>
      </c>
      <c r="R68" s="3">
        <f>I68*Criterios_Match!$C$8</f>
        <v>7.7000000000000011</v>
      </c>
      <c r="S68" s="3">
        <f>J68*Criterios_Match!$C$9</f>
        <v>2.25</v>
      </c>
      <c r="T68" s="3">
        <f>K68*Criterios_Match!$C$10</f>
        <v>4.5</v>
      </c>
      <c r="U68" s="3">
        <f>L68*Criterios_Match!$C$11</f>
        <v>3.4</v>
      </c>
      <c r="V68" s="3">
        <f>M68*Criterios_Match!$C$12</f>
        <v>5</v>
      </c>
      <c r="W68" s="3">
        <f t="shared" si="2"/>
        <v>53.7</v>
      </c>
      <c r="X68" s="3">
        <f t="shared" si="3"/>
        <v>19</v>
      </c>
      <c r="Y68" s="2" t="s">
        <v>308</v>
      </c>
      <c r="Z68" s="2" t="s">
        <v>320</v>
      </c>
      <c r="AA68" s="2"/>
      <c r="AB68" s="2"/>
      <c r="AC68" s="2" t="s">
        <v>319</v>
      </c>
    </row>
    <row r="69" spans="1:29" ht="57">
      <c r="A69" s="2" t="s">
        <v>211</v>
      </c>
      <c r="B69" s="2" t="s">
        <v>212</v>
      </c>
      <c r="C69" s="2" t="s">
        <v>81</v>
      </c>
      <c r="D69" s="2" t="s">
        <v>82</v>
      </c>
      <c r="E69" s="3">
        <v>0</v>
      </c>
      <c r="F69" s="3">
        <v>0</v>
      </c>
      <c r="G69" s="3">
        <v>0.75</v>
      </c>
      <c r="H69" s="3">
        <v>0.94</v>
      </c>
      <c r="I69" s="3">
        <v>0.95</v>
      </c>
      <c r="J69" s="3">
        <v>0.25</v>
      </c>
      <c r="K69" s="3">
        <v>0.9</v>
      </c>
      <c r="L69" s="3">
        <v>0.95</v>
      </c>
      <c r="M69" s="3">
        <v>0.85</v>
      </c>
      <c r="N69" s="3">
        <v>6.15</v>
      </c>
      <c r="O69" s="3">
        <f>E69*Criterios_Match!$C$5</f>
        <v>0</v>
      </c>
      <c r="P69" s="3">
        <f>G69*Criterios_Match!$C$6</f>
        <v>13.5</v>
      </c>
      <c r="Q69" s="3">
        <f>H69*Criterios_Match!$C$7</f>
        <v>13.16</v>
      </c>
      <c r="R69" s="3">
        <f>I69*Criterios_Match!$C$8</f>
        <v>13.299999999999999</v>
      </c>
      <c r="S69" s="3">
        <f>J69*Criterios_Match!$C$9</f>
        <v>2.25</v>
      </c>
      <c r="T69" s="3">
        <f>K69*Criterios_Match!$C$10</f>
        <v>5.4</v>
      </c>
      <c r="U69" s="3">
        <f>L69*Criterios_Match!$C$11</f>
        <v>3.8</v>
      </c>
      <c r="V69" s="3">
        <f>M69*Criterios_Match!$C$12</f>
        <v>4.25</v>
      </c>
      <c r="W69" s="3">
        <f t="shared" ref="W69:W100" si="4">ROUND(SUM(O69:V69)+N69,2)</f>
        <v>61.81</v>
      </c>
      <c r="X69" s="3">
        <f t="shared" ref="X69:X100" si="5">COUNTIFS($A$5:$A$104,A69,$W$5:$W$104,"&gt;"&amp;W69)+1</f>
        <v>13</v>
      </c>
      <c r="Y69" s="2" t="s">
        <v>308</v>
      </c>
      <c r="Z69" s="2" t="s">
        <v>310</v>
      </c>
      <c r="AA69" s="2" t="s">
        <v>315</v>
      </c>
      <c r="AB69" s="2" t="s">
        <v>314</v>
      </c>
      <c r="AC69" s="2" t="s">
        <v>319</v>
      </c>
    </row>
    <row r="70" spans="1:29" ht="57">
      <c r="A70" s="2" t="s">
        <v>211</v>
      </c>
      <c r="B70" s="2" t="s">
        <v>212</v>
      </c>
      <c r="C70" s="2" t="s">
        <v>87</v>
      </c>
      <c r="D70" s="2" t="s">
        <v>88</v>
      </c>
      <c r="E70" s="3">
        <v>0.33</v>
      </c>
      <c r="F70" s="3">
        <v>0</v>
      </c>
      <c r="G70" s="3">
        <v>0.05</v>
      </c>
      <c r="H70" s="3">
        <v>0.86</v>
      </c>
      <c r="I70" s="3">
        <v>0.95</v>
      </c>
      <c r="J70" s="3">
        <v>0.25</v>
      </c>
      <c r="K70" s="3">
        <v>0.6</v>
      </c>
      <c r="L70" s="3">
        <v>0.9</v>
      </c>
      <c r="M70" s="3">
        <v>0.95</v>
      </c>
      <c r="N70" s="3">
        <v>5.55</v>
      </c>
      <c r="O70" s="3">
        <f>E70*Criterios_Match!$C$5</f>
        <v>9.9</v>
      </c>
      <c r="P70" s="3">
        <f>G70*Criterios_Match!$C$6</f>
        <v>0.9</v>
      </c>
      <c r="Q70" s="3">
        <f>H70*Criterios_Match!$C$7</f>
        <v>12.04</v>
      </c>
      <c r="R70" s="3">
        <f>I70*Criterios_Match!$C$8</f>
        <v>13.299999999999999</v>
      </c>
      <c r="S70" s="3">
        <f>J70*Criterios_Match!$C$9</f>
        <v>2.25</v>
      </c>
      <c r="T70" s="3">
        <f>K70*Criterios_Match!$C$10</f>
        <v>3.5999999999999996</v>
      </c>
      <c r="U70" s="3">
        <f>L70*Criterios_Match!$C$11</f>
        <v>3.6</v>
      </c>
      <c r="V70" s="3">
        <f>M70*Criterios_Match!$C$12</f>
        <v>4.75</v>
      </c>
      <c r="W70" s="3">
        <f t="shared" si="4"/>
        <v>55.89</v>
      </c>
      <c r="X70" s="3">
        <f t="shared" si="5"/>
        <v>16</v>
      </c>
      <c r="Y70" s="2" t="s">
        <v>308</v>
      </c>
      <c r="Z70" s="2" t="s">
        <v>315</v>
      </c>
      <c r="AA70" s="2"/>
      <c r="AB70" s="2"/>
      <c r="AC70" s="2" t="s">
        <v>319</v>
      </c>
    </row>
    <row r="71" spans="1:29" ht="57">
      <c r="A71" s="2" t="s">
        <v>211</v>
      </c>
      <c r="B71" s="2" t="s">
        <v>212</v>
      </c>
      <c r="C71" s="2" t="s">
        <v>94</v>
      </c>
      <c r="D71" s="2" t="s">
        <v>95</v>
      </c>
      <c r="E71" s="3">
        <v>0.4</v>
      </c>
      <c r="F71" s="3">
        <v>0</v>
      </c>
      <c r="G71" s="3">
        <v>0.35</v>
      </c>
      <c r="H71" s="3">
        <v>0.97</v>
      </c>
      <c r="I71" s="3">
        <v>0.75</v>
      </c>
      <c r="J71" s="3">
        <v>0.25</v>
      </c>
      <c r="K71" s="3">
        <v>1</v>
      </c>
      <c r="L71" s="3">
        <v>0.85</v>
      </c>
      <c r="M71" s="3">
        <v>1</v>
      </c>
      <c r="N71" s="3">
        <v>5.75</v>
      </c>
      <c r="O71" s="3">
        <f>E71*Criterios_Match!$C$5</f>
        <v>12</v>
      </c>
      <c r="P71" s="3">
        <f>G71*Criterios_Match!$C$6</f>
        <v>6.3</v>
      </c>
      <c r="Q71" s="3">
        <f>H71*Criterios_Match!$C$7</f>
        <v>13.58</v>
      </c>
      <c r="R71" s="3">
        <f>I71*Criterios_Match!$C$8</f>
        <v>10.5</v>
      </c>
      <c r="S71" s="3">
        <f>J71*Criterios_Match!$C$9</f>
        <v>2.25</v>
      </c>
      <c r="T71" s="3">
        <f>K71*Criterios_Match!$C$10</f>
        <v>6</v>
      </c>
      <c r="U71" s="3">
        <f>L71*Criterios_Match!$C$11</f>
        <v>3.4</v>
      </c>
      <c r="V71" s="3">
        <f>M71*Criterios_Match!$C$12</f>
        <v>5</v>
      </c>
      <c r="W71" s="3">
        <f t="shared" si="4"/>
        <v>64.78</v>
      </c>
      <c r="X71" s="3">
        <f t="shared" si="5"/>
        <v>9</v>
      </c>
      <c r="Y71" s="2" t="s">
        <v>308</v>
      </c>
      <c r="Z71" s="2" t="s">
        <v>314</v>
      </c>
      <c r="AA71" s="2"/>
      <c r="AB71" s="2"/>
      <c r="AC71" s="2" t="s">
        <v>319</v>
      </c>
    </row>
    <row r="72" spans="1:29" ht="57">
      <c r="A72" s="2" t="s">
        <v>211</v>
      </c>
      <c r="B72" s="2" t="s">
        <v>212</v>
      </c>
      <c r="C72" s="2" t="s">
        <v>101</v>
      </c>
      <c r="D72" s="2" t="s">
        <v>102</v>
      </c>
      <c r="E72" s="3">
        <v>0.33</v>
      </c>
      <c r="F72" s="3">
        <v>0</v>
      </c>
      <c r="G72" s="3">
        <v>0.35</v>
      </c>
      <c r="H72" s="3">
        <v>0.91</v>
      </c>
      <c r="I72" s="3">
        <v>0.75</v>
      </c>
      <c r="J72" s="3">
        <v>0.9</v>
      </c>
      <c r="K72" s="3">
        <v>0.9</v>
      </c>
      <c r="L72" s="3">
        <v>0.95</v>
      </c>
      <c r="M72" s="3">
        <v>1</v>
      </c>
      <c r="N72" s="3">
        <v>5.55</v>
      </c>
      <c r="O72" s="3">
        <f>E72*Criterios_Match!$C$5</f>
        <v>9.9</v>
      </c>
      <c r="P72" s="3">
        <f>G72*Criterios_Match!$C$6</f>
        <v>6.3</v>
      </c>
      <c r="Q72" s="3">
        <f>H72*Criterios_Match!$C$7</f>
        <v>12.74</v>
      </c>
      <c r="R72" s="3">
        <f>I72*Criterios_Match!$C$8</f>
        <v>10.5</v>
      </c>
      <c r="S72" s="3">
        <f>J72*Criterios_Match!$C$9</f>
        <v>8.1</v>
      </c>
      <c r="T72" s="3">
        <f>K72*Criterios_Match!$C$10</f>
        <v>5.4</v>
      </c>
      <c r="U72" s="3">
        <f>L72*Criterios_Match!$C$11</f>
        <v>3.8</v>
      </c>
      <c r="V72" s="3">
        <f>M72*Criterios_Match!$C$12</f>
        <v>5</v>
      </c>
      <c r="W72" s="3">
        <f t="shared" si="4"/>
        <v>67.290000000000006</v>
      </c>
      <c r="X72" s="3">
        <f t="shared" si="5"/>
        <v>7</v>
      </c>
      <c r="Y72" s="2" t="s">
        <v>308</v>
      </c>
      <c r="Z72" s="2" t="s">
        <v>327</v>
      </c>
      <c r="AA72" s="2" t="s">
        <v>314</v>
      </c>
      <c r="AB72" s="2"/>
      <c r="AC72" s="2" t="s">
        <v>319</v>
      </c>
    </row>
    <row r="73" spans="1:29" ht="57">
      <c r="A73" s="2" t="s">
        <v>211</v>
      </c>
      <c r="B73" s="2" t="s">
        <v>212</v>
      </c>
      <c r="C73" s="2" t="s">
        <v>106</v>
      </c>
      <c r="D73" s="2" t="s">
        <v>107</v>
      </c>
      <c r="E73" s="3">
        <v>0.38</v>
      </c>
      <c r="F73" s="3">
        <v>0</v>
      </c>
      <c r="G73" s="3">
        <v>1</v>
      </c>
      <c r="H73" s="3">
        <v>0.97</v>
      </c>
      <c r="I73" s="3">
        <v>0.95</v>
      </c>
      <c r="J73" s="3">
        <v>1</v>
      </c>
      <c r="K73" s="3">
        <v>1</v>
      </c>
      <c r="L73" s="3">
        <v>0.85</v>
      </c>
      <c r="M73" s="3">
        <v>0.95</v>
      </c>
      <c r="N73" s="3">
        <v>6.35</v>
      </c>
      <c r="O73" s="3">
        <f>E73*Criterios_Match!$C$5</f>
        <v>11.4</v>
      </c>
      <c r="P73" s="3">
        <f>G73*Criterios_Match!$C$6</f>
        <v>18</v>
      </c>
      <c r="Q73" s="3">
        <f>H73*Criterios_Match!$C$7</f>
        <v>13.58</v>
      </c>
      <c r="R73" s="3">
        <f>I73*Criterios_Match!$C$8</f>
        <v>13.299999999999999</v>
      </c>
      <c r="S73" s="3">
        <f>J73*Criterios_Match!$C$9</f>
        <v>9</v>
      </c>
      <c r="T73" s="3">
        <f>K73*Criterios_Match!$C$10</f>
        <v>6</v>
      </c>
      <c r="U73" s="3">
        <f>L73*Criterios_Match!$C$11</f>
        <v>3.4</v>
      </c>
      <c r="V73" s="3">
        <f>M73*Criterios_Match!$C$12</f>
        <v>4.75</v>
      </c>
      <c r="W73" s="3">
        <f t="shared" si="4"/>
        <v>85.78</v>
      </c>
      <c r="X73" s="3">
        <f t="shared" si="5"/>
        <v>2</v>
      </c>
      <c r="Y73" s="2" t="s">
        <v>308</v>
      </c>
      <c r="Z73" s="2" t="s">
        <v>327</v>
      </c>
      <c r="AA73" s="2" t="s">
        <v>310</v>
      </c>
      <c r="AB73" s="2" t="s">
        <v>315</v>
      </c>
      <c r="AC73" s="2" t="s">
        <v>319</v>
      </c>
    </row>
    <row r="74" spans="1:29" ht="57">
      <c r="A74" s="2" t="s">
        <v>211</v>
      </c>
      <c r="B74" s="2" t="s">
        <v>212</v>
      </c>
      <c r="C74" s="2" t="s">
        <v>115</v>
      </c>
      <c r="D74" s="2" t="s">
        <v>116</v>
      </c>
      <c r="E74" s="3">
        <v>0.1</v>
      </c>
      <c r="F74" s="3">
        <v>0</v>
      </c>
      <c r="G74" s="3">
        <v>0.35</v>
      </c>
      <c r="H74" s="3">
        <v>0.92</v>
      </c>
      <c r="I74" s="3">
        <v>0.75</v>
      </c>
      <c r="J74" s="3">
        <v>0.25</v>
      </c>
      <c r="K74" s="3">
        <v>0.98</v>
      </c>
      <c r="L74" s="3">
        <v>0.95</v>
      </c>
      <c r="M74" s="3">
        <v>1</v>
      </c>
      <c r="N74" s="3">
        <v>5.71</v>
      </c>
      <c r="O74" s="3">
        <f>E74*Criterios_Match!$C$5</f>
        <v>3</v>
      </c>
      <c r="P74" s="3">
        <f>G74*Criterios_Match!$C$6</f>
        <v>6.3</v>
      </c>
      <c r="Q74" s="3">
        <f>H74*Criterios_Match!$C$7</f>
        <v>12.88</v>
      </c>
      <c r="R74" s="3">
        <f>I74*Criterios_Match!$C$8</f>
        <v>10.5</v>
      </c>
      <c r="S74" s="3">
        <f>J74*Criterios_Match!$C$9</f>
        <v>2.25</v>
      </c>
      <c r="T74" s="3">
        <f>K74*Criterios_Match!$C$10</f>
        <v>5.88</v>
      </c>
      <c r="U74" s="3">
        <f>L74*Criterios_Match!$C$11</f>
        <v>3.8</v>
      </c>
      <c r="V74" s="3">
        <f>M74*Criterios_Match!$C$12</f>
        <v>5</v>
      </c>
      <c r="W74" s="3">
        <f t="shared" si="4"/>
        <v>55.32</v>
      </c>
      <c r="X74" s="3">
        <f t="shared" si="5"/>
        <v>17</v>
      </c>
      <c r="Y74" s="2" t="s">
        <v>308</v>
      </c>
      <c r="Z74" s="2" t="s">
        <v>314</v>
      </c>
      <c r="AA74" s="2"/>
      <c r="AB74" s="2"/>
      <c r="AC74" s="2" t="s">
        <v>319</v>
      </c>
    </row>
    <row r="75" spans="1:29" ht="57">
      <c r="A75" s="2" t="s">
        <v>211</v>
      </c>
      <c r="B75" s="2" t="s">
        <v>212</v>
      </c>
      <c r="C75" s="2" t="s">
        <v>119</v>
      </c>
      <c r="D75" s="2" t="s">
        <v>120</v>
      </c>
      <c r="E75" s="3">
        <v>0.4</v>
      </c>
      <c r="F75" s="3">
        <v>0</v>
      </c>
      <c r="G75" s="3">
        <v>0.05</v>
      </c>
      <c r="H75" s="3">
        <v>0.97</v>
      </c>
      <c r="I75" s="3">
        <v>0.75</v>
      </c>
      <c r="J75" s="3">
        <v>0.9</v>
      </c>
      <c r="K75" s="3">
        <v>0.75</v>
      </c>
      <c r="L75" s="3">
        <v>1</v>
      </c>
      <c r="M75" s="3">
        <v>1</v>
      </c>
      <c r="N75" s="3">
        <v>5.25</v>
      </c>
      <c r="O75" s="3">
        <f>E75*Criterios_Match!$C$5</f>
        <v>12</v>
      </c>
      <c r="P75" s="3">
        <f>G75*Criterios_Match!$C$6</f>
        <v>0.9</v>
      </c>
      <c r="Q75" s="3">
        <f>H75*Criterios_Match!$C$7</f>
        <v>13.58</v>
      </c>
      <c r="R75" s="3">
        <f>I75*Criterios_Match!$C$8</f>
        <v>10.5</v>
      </c>
      <c r="S75" s="3">
        <f>J75*Criterios_Match!$C$9</f>
        <v>8.1</v>
      </c>
      <c r="T75" s="3">
        <f>K75*Criterios_Match!$C$10</f>
        <v>4.5</v>
      </c>
      <c r="U75" s="3">
        <f>L75*Criterios_Match!$C$11</f>
        <v>4</v>
      </c>
      <c r="V75" s="3">
        <f>M75*Criterios_Match!$C$12</f>
        <v>5</v>
      </c>
      <c r="W75" s="3">
        <f t="shared" si="4"/>
        <v>63.83</v>
      </c>
      <c r="X75" s="3">
        <f t="shared" si="5"/>
        <v>12</v>
      </c>
      <c r="Y75" s="2" t="s">
        <v>308</v>
      </c>
      <c r="Z75" s="2" t="s">
        <v>327</v>
      </c>
      <c r="AA75" s="2"/>
      <c r="AB75" s="2"/>
      <c r="AC75" s="2" t="s">
        <v>319</v>
      </c>
    </row>
    <row r="76" spans="1:29" ht="57">
      <c r="A76" s="2" t="s">
        <v>211</v>
      </c>
      <c r="B76" s="2" t="s">
        <v>212</v>
      </c>
      <c r="C76" s="2" t="s">
        <v>126</v>
      </c>
      <c r="D76" s="2" t="s">
        <v>127</v>
      </c>
      <c r="E76" s="3">
        <v>0.52</v>
      </c>
      <c r="F76" s="3">
        <v>0</v>
      </c>
      <c r="G76" s="3">
        <v>0.75</v>
      </c>
      <c r="H76" s="3">
        <v>0.96</v>
      </c>
      <c r="I76" s="3">
        <v>0.95</v>
      </c>
      <c r="J76" s="3">
        <v>1</v>
      </c>
      <c r="K76" s="3">
        <v>1</v>
      </c>
      <c r="L76" s="3">
        <v>0.85</v>
      </c>
      <c r="M76" s="3">
        <v>1</v>
      </c>
      <c r="N76" s="3">
        <v>6.35</v>
      </c>
      <c r="O76" s="3">
        <f>E76*Criterios_Match!$C$5</f>
        <v>15.600000000000001</v>
      </c>
      <c r="P76" s="3">
        <f>G76*Criterios_Match!$C$6</f>
        <v>13.5</v>
      </c>
      <c r="Q76" s="3">
        <f>H76*Criterios_Match!$C$7</f>
        <v>13.44</v>
      </c>
      <c r="R76" s="3">
        <f>I76*Criterios_Match!$C$8</f>
        <v>13.299999999999999</v>
      </c>
      <c r="S76" s="3">
        <f>J76*Criterios_Match!$C$9</f>
        <v>9</v>
      </c>
      <c r="T76" s="3">
        <f>K76*Criterios_Match!$C$10</f>
        <v>6</v>
      </c>
      <c r="U76" s="3">
        <f>L76*Criterios_Match!$C$11</f>
        <v>3.4</v>
      </c>
      <c r="V76" s="3">
        <f>M76*Criterios_Match!$C$12</f>
        <v>5</v>
      </c>
      <c r="W76" s="3">
        <f t="shared" si="4"/>
        <v>85.59</v>
      </c>
      <c r="X76" s="3">
        <f t="shared" si="5"/>
        <v>3</v>
      </c>
      <c r="Y76" s="2" t="s">
        <v>308</v>
      </c>
      <c r="Z76" s="2" t="s">
        <v>313</v>
      </c>
      <c r="AA76" s="2" t="s">
        <v>327</v>
      </c>
      <c r="AB76" s="2" t="s">
        <v>310</v>
      </c>
      <c r="AC76" s="2" t="s">
        <v>319</v>
      </c>
    </row>
    <row r="77" spans="1:29" ht="57">
      <c r="A77" s="2" t="s">
        <v>211</v>
      </c>
      <c r="B77" s="2" t="s">
        <v>212</v>
      </c>
      <c r="C77" s="2" t="s">
        <v>133</v>
      </c>
      <c r="D77" s="2" t="s">
        <v>134</v>
      </c>
      <c r="E77" s="3">
        <v>0</v>
      </c>
      <c r="F77" s="3">
        <v>0</v>
      </c>
      <c r="G77" s="3">
        <v>0.35</v>
      </c>
      <c r="H77" s="3">
        <v>0.92</v>
      </c>
      <c r="I77" s="3">
        <v>0.95</v>
      </c>
      <c r="J77" s="3">
        <v>0.25</v>
      </c>
      <c r="K77" s="3">
        <v>0.83</v>
      </c>
      <c r="L77" s="3">
        <v>1</v>
      </c>
      <c r="M77" s="3">
        <v>0.95</v>
      </c>
      <c r="N77" s="3">
        <v>6.01</v>
      </c>
      <c r="O77" s="3">
        <f>E77*Criterios_Match!$C$5</f>
        <v>0</v>
      </c>
      <c r="P77" s="3">
        <f>G77*Criterios_Match!$C$6</f>
        <v>6.3</v>
      </c>
      <c r="Q77" s="3">
        <f>H77*Criterios_Match!$C$7</f>
        <v>12.88</v>
      </c>
      <c r="R77" s="3">
        <f>I77*Criterios_Match!$C$8</f>
        <v>13.299999999999999</v>
      </c>
      <c r="S77" s="3">
        <f>J77*Criterios_Match!$C$9</f>
        <v>2.25</v>
      </c>
      <c r="T77" s="3">
        <f>K77*Criterios_Match!$C$10</f>
        <v>4.9799999999999995</v>
      </c>
      <c r="U77" s="3">
        <f>L77*Criterios_Match!$C$11</f>
        <v>4</v>
      </c>
      <c r="V77" s="3">
        <f>M77*Criterios_Match!$C$12</f>
        <v>4.75</v>
      </c>
      <c r="W77" s="3">
        <f t="shared" si="4"/>
        <v>54.47</v>
      </c>
      <c r="X77" s="3">
        <f t="shared" si="5"/>
        <v>18</v>
      </c>
      <c r="Y77" s="2" t="s">
        <v>308</v>
      </c>
      <c r="Z77" s="2" t="s">
        <v>315</v>
      </c>
      <c r="AA77" s="2"/>
      <c r="AB77" s="2"/>
      <c r="AC77" s="2" t="s">
        <v>319</v>
      </c>
    </row>
    <row r="78" spans="1:29" ht="57">
      <c r="A78" s="2" t="s">
        <v>211</v>
      </c>
      <c r="B78" s="2" t="s">
        <v>212</v>
      </c>
      <c r="C78" s="2" t="s">
        <v>138</v>
      </c>
      <c r="D78" s="2" t="s">
        <v>139</v>
      </c>
      <c r="E78" s="3">
        <v>0.4</v>
      </c>
      <c r="F78" s="3">
        <v>0</v>
      </c>
      <c r="G78" s="3">
        <v>0.35</v>
      </c>
      <c r="H78" s="3">
        <v>0.98</v>
      </c>
      <c r="I78" s="3">
        <v>0.75</v>
      </c>
      <c r="J78" s="3">
        <v>0.25</v>
      </c>
      <c r="K78" s="3">
        <v>1</v>
      </c>
      <c r="L78" s="3">
        <v>1</v>
      </c>
      <c r="M78" s="3">
        <v>1</v>
      </c>
      <c r="N78" s="3">
        <v>5.75</v>
      </c>
      <c r="O78" s="3">
        <f>E78*Criterios_Match!$C$5</f>
        <v>12</v>
      </c>
      <c r="P78" s="3">
        <f>G78*Criterios_Match!$C$6</f>
        <v>6.3</v>
      </c>
      <c r="Q78" s="3">
        <f>H78*Criterios_Match!$C$7</f>
        <v>13.719999999999999</v>
      </c>
      <c r="R78" s="3">
        <f>I78*Criterios_Match!$C$8</f>
        <v>10.5</v>
      </c>
      <c r="S78" s="3">
        <f>J78*Criterios_Match!$C$9</f>
        <v>2.25</v>
      </c>
      <c r="T78" s="3">
        <f>K78*Criterios_Match!$C$10</f>
        <v>6</v>
      </c>
      <c r="U78" s="3">
        <f>L78*Criterios_Match!$C$11</f>
        <v>4</v>
      </c>
      <c r="V78" s="3">
        <f>M78*Criterios_Match!$C$12</f>
        <v>5</v>
      </c>
      <c r="W78" s="3">
        <f t="shared" si="4"/>
        <v>65.52</v>
      </c>
      <c r="X78" s="3">
        <f t="shared" si="5"/>
        <v>8</v>
      </c>
      <c r="Y78" s="2" t="s">
        <v>308</v>
      </c>
      <c r="Z78" s="2" t="s">
        <v>314</v>
      </c>
      <c r="AA78" s="2"/>
      <c r="AB78" s="2"/>
      <c r="AC78" s="2" t="s">
        <v>319</v>
      </c>
    </row>
    <row r="79" spans="1:29" ht="57">
      <c r="A79" s="2" t="s">
        <v>211</v>
      </c>
      <c r="B79" s="2" t="s">
        <v>212</v>
      </c>
      <c r="C79" s="2" t="s">
        <v>142</v>
      </c>
      <c r="D79" s="2" t="s">
        <v>143</v>
      </c>
      <c r="E79" s="3">
        <v>0.67</v>
      </c>
      <c r="F79" s="3">
        <v>0</v>
      </c>
      <c r="G79" s="3">
        <v>0.35</v>
      </c>
      <c r="H79" s="3">
        <v>0.99</v>
      </c>
      <c r="I79" s="3">
        <v>0.95</v>
      </c>
      <c r="J79" s="3">
        <v>0.25</v>
      </c>
      <c r="K79" s="3">
        <v>0.98</v>
      </c>
      <c r="L79" s="3">
        <v>0.85</v>
      </c>
      <c r="M79" s="3">
        <v>0.95</v>
      </c>
      <c r="N79" s="3">
        <v>6.31</v>
      </c>
      <c r="O79" s="3">
        <f>E79*Criterios_Match!$C$5</f>
        <v>20.100000000000001</v>
      </c>
      <c r="P79" s="3">
        <f>G79*Criterios_Match!$C$6</f>
        <v>6.3</v>
      </c>
      <c r="Q79" s="3">
        <f>H79*Criterios_Match!$C$7</f>
        <v>13.86</v>
      </c>
      <c r="R79" s="3">
        <f>I79*Criterios_Match!$C$8</f>
        <v>13.299999999999999</v>
      </c>
      <c r="S79" s="3">
        <f>J79*Criterios_Match!$C$9</f>
        <v>2.25</v>
      </c>
      <c r="T79" s="3">
        <f>K79*Criterios_Match!$C$10</f>
        <v>5.88</v>
      </c>
      <c r="U79" s="3">
        <f>L79*Criterios_Match!$C$11</f>
        <v>3.4</v>
      </c>
      <c r="V79" s="3">
        <f>M79*Criterios_Match!$C$12</f>
        <v>4.75</v>
      </c>
      <c r="W79" s="3">
        <f t="shared" si="4"/>
        <v>76.150000000000006</v>
      </c>
      <c r="X79" s="3">
        <f t="shared" si="5"/>
        <v>5</v>
      </c>
      <c r="Y79" s="2" t="s">
        <v>308</v>
      </c>
      <c r="Z79" s="2" t="s">
        <v>313</v>
      </c>
      <c r="AA79" s="2" t="s">
        <v>315</v>
      </c>
      <c r="AB79" s="2" t="s">
        <v>314</v>
      </c>
      <c r="AC79" s="2" t="s">
        <v>319</v>
      </c>
    </row>
    <row r="80" spans="1:29" ht="57">
      <c r="A80" s="2" t="s">
        <v>211</v>
      </c>
      <c r="B80" s="2" t="s">
        <v>212</v>
      </c>
      <c r="C80" s="2" t="s">
        <v>146</v>
      </c>
      <c r="D80" s="2" t="s">
        <v>147</v>
      </c>
      <c r="E80" s="3">
        <v>0.33</v>
      </c>
      <c r="F80" s="3">
        <v>0</v>
      </c>
      <c r="G80" s="3">
        <v>0.05</v>
      </c>
      <c r="H80" s="3">
        <v>0.85</v>
      </c>
      <c r="I80" s="3">
        <v>0.95</v>
      </c>
      <c r="J80" s="3">
        <v>0.9</v>
      </c>
      <c r="K80" s="3">
        <v>0.3</v>
      </c>
      <c r="L80" s="3">
        <v>0.9</v>
      </c>
      <c r="M80" s="3">
        <v>0.95</v>
      </c>
      <c r="N80" s="3">
        <v>4.95</v>
      </c>
      <c r="O80" s="3">
        <f>E80*Criterios_Match!$C$5</f>
        <v>9.9</v>
      </c>
      <c r="P80" s="3">
        <f>G80*Criterios_Match!$C$6</f>
        <v>0.9</v>
      </c>
      <c r="Q80" s="3">
        <f>H80*Criterios_Match!$C$7</f>
        <v>11.9</v>
      </c>
      <c r="R80" s="3">
        <f>I80*Criterios_Match!$C$8</f>
        <v>13.299999999999999</v>
      </c>
      <c r="S80" s="3">
        <f>J80*Criterios_Match!$C$9</f>
        <v>8.1</v>
      </c>
      <c r="T80" s="3">
        <f>K80*Criterios_Match!$C$10</f>
        <v>1.7999999999999998</v>
      </c>
      <c r="U80" s="3">
        <f>L80*Criterios_Match!$C$11</f>
        <v>3.6</v>
      </c>
      <c r="V80" s="3">
        <f>M80*Criterios_Match!$C$12</f>
        <v>4.75</v>
      </c>
      <c r="W80" s="3">
        <f t="shared" si="4"/>
        <v>59.2</v>
      </c>
      <c r="X80" s="3">
        <f t="shared" si="5"/>
        <v>14</v>
      </c>
      <c r="Y80" s="2" t="s">
        <v>308</v>
      </c>
      <c r="Z80" s="2" t="s">
        <v>327</v>
      </c>
      <c r="AA80" s="2" t="s">
        <v>315</v>
      </c>
      <c r="AB80" s="2"/>
      <c r="AC80" s="2" t="s">
        <v>319</v>
      </c>
    </row>
    <row r="81" spans="1:29" ht="57">
      <c r="A81" s="2" t="s">
        <v>211</v>
      </c>
      <c r="B81" s="2" t="s">
        <v>212</v>
      </c>
      <c r="C81" s="2" t="s">
        <v>149</v>
      </c>
      <c r="D81" s="2" t="s">
        <v>150</v>
      </c>
      <c r="E81" s="3">
        <v>0</v>
      </c>
      <c r="F81" s="3">
        <v>0</v>
      </c>
      <c r="G81" s="3">
        <v>1</v>
      </c>
      <c r="H81" s="3">
        <v>0.96</v>
      </c>
      <c r="I81" s="3">
        <v>0.95</v>
      </c>
      <c r="J81" s="3">
        <v>0.25</v>
      </c>
      <c r="K81" s="3">
        <v>1</v>
      </c>
      <c r="L81" s="3">
        <v>0.95</v>
      </c>
      <c r="M81" s="3">
        <v>0.95</v>
      </c>
      <c r="N81" s="3">
        <v>6.35</v>
      </c>
      <c r="O81" s="3">
        <f>E81*Criterios_Match!$C$5</f>
        <v>0</v>
      </c>
      <c r="P81" s="3">
        <f>G81*Criterios_Match!$C$6</f>
        <v>18</v>
      </c>
      <c r="Q81" s="3">
        <f>H81*Criterios_Match!$C$7</f>
        <v>13.44</v>
      </c>
      <c r="R81" s="3">
        <f>I81*Criterios_Match!$C$8</f>
        <v>13.299999999999999</v>
      </c>
      <c r="S81" s="3">
        <f>J81*Criterios_Match!$C$9</f>
        <v>2.25</v>
      </c>
      <c r="T81" s="3">
        <f>K81*Criterios_Match!$C$10</f>
        <v>6</v>
      </c>
      <c r="U81" s="3">
        <f>L81*Criterios_Match!$C$11</f>
        <v>3.8</v>
      </c>
      <c r="V81" s="3">
        <f>M81*Criterios_Match!$C$12</f>
        <v>4.75</v>
      </c>
      <c r="W81" s="3">
        <f t="shared" si="4"/>
        <v>67.89</v>
      </c>
      <c r="X81" s="3">
        <f t="shared" si="5"/>
        <v>6</v>
      </c>
      <c r="Y81" s="2" t="s">
        <v>308</v>
      </c>
      <c r="Z81" s="2" t="s">
        <v>310</v>
      </c>
      <c r="AA81" s="2" t="s">
        <v>315</v>
      </c>
      <c r="AB81" s="2" t="s">
        <v>314</v>
      </c>
      <c r="AC81" s="2" t="s">
        <v>319</v>
      </c>
    </row>
    <row r="82" spans="1:29" ht="57">
      <c r="A82" s="2" t="s">
        <v>211</v>
      </c>
      <c r="B82" s="2" t="s">
        <v>212</v>
      </c>
      <c r="C82" s="2" t="s">
        <v>153</v>
      </c>
      <c r="D82" s="2" t="s">
        <v>154</v>
      </c>
      <c r="E82" s="3">
        <v>0.18</v>
      </c>
      <c r="F82" s="3">
        <v>0</v>
      </c>
      <c r="G82" s="3">
        <v>0.05</v>
      </c>
      <c r="H82" s="3">
        <v>0.95</v>
      </c>
      <c r="I82" s="3">
        <v>0.55000000000000004</v>
      </c>
      <c r="J82" s="3">
        <v>0.9</v>
      </c>
      <c r="K82" s="3">
        <v>0.75</v>
      </c>
      <c r="L82" s="3">
        <v>0.85</v>
      </c>
      <c r="M82" s="3">
        <v>1</v>
      </c>
      <c r="N82" s="3">
        <v>4.6500000000000004</v>
      </c>
      <c r="O82" s="3">
        <f>E82*Criterios_Match!$C$5</f>
        <v>5.3999999999999995</v>
      </c>
      <c r="P82" s="3">
        <f>G82*Criterios_Match!$C$6</f>
        <v>0.9</v>
      </c>
      <c r="Q82" s="3">
        <f>H82*Criterios_Match!$C$7</f>
        <v>13.299999999999999</v>
      </c>
      <c r="R82" s="3">
        <f>I82*Criterios_Match!$C$8</f>
        <v>7.7000000000000011</v>
      </c>
      <c r="S82" s="3">
        <f>J82*Criterios_Match!$C$9</f>
        <v>8.1</v>
      </c>
      <c r="T82" s="3">
        <f>K82*Criterios_Match!$C$10</f>
        <v>4.5</v>
      </c>
      <c r="U82" s="3">
        <f>L82*Criterios_Match!$C$11</f>
        <v>3.4</v>
      </c>
      <c r="V82" s="3">
        <f>M82*Criterios_Match!$C$12</f>
        <v>5</v>
      </c>
      <c r="W82" s="3">
        <f t="shared" si="4"/>
        <v>52.95</v>
      </c>
      <c r="X82" s="3">
        <f t="shared" si="5"/>
        <v>20</v>
      </c>
      <c r="Y82" s="2" t="s">
        <v>308</v>
      </c>
      <c r="Z82" s="2" t="s">
        <v>327</v>
      </c>
      <c r="AA82" s="2"/>
      <c r="AB82" s="2"/>
      <c r="AC82" s="2" t="s">
        <v>319</v>
      </c>
    </row>
    <row r="83" spans="1:29" ht="57">
      <c r="A83" s="2" t="s">
        <v>211</v>
      </c>
      <c r="B83" s="2" t="s">
        <v>212</v>
      </c>
      <c r="C83" s="2" t="s">
        <v>158</v>
      </c>
      <c r="D83" s="2" t="s">
        <v>159</v>
      </c>
      <c r="E83" s="3">
        <v>0.4</v>
      </c>
      <c r="F83" s="3">
        <v>0</v>
      </c>
      <c r="G83" s="3">
        <v>0.35</v>
      </c>
      <c r="H83" s="3">
        <v>0.97</v>
      </c>
      <c r="I83" s="3">
        <v>0.75</v>
      </c>
      <c r="J83" s="3">
        <v>0.25</v>
      </c>
      <c r="K83" s="3">
        <v>0.9</v>
      </c>
      <c r="L83" s="3">
        <v>1</v>
      </c>
      <c r="M83" s="3">
        <v>1</v>
      </c>
      <c r="N83" s="3">
        <v>5.55</v>
      </c>
      <c r="O83" s="3">
        <f>E83*Criterios_Match!$C$5</f>
        <v>12</v>
      </c>
      <c r="P83" s="3">
        <f>G83*Criterios_Match!$C$6</f>
        <v>6.3</v>
      </c>
      <c r="Q83" s="3">
        <f>H83*Criterios_Match!$C$7</f>
        <v>13.58</v>
      </c>
      <c r="R83" s="3">
        <f>I83*Criterios_Match!$C$8</f>
        <v>10.5</v>
      </c>
      <c r="S83" s="3">
        <f>J83*Criterios_Match!$C$9</f>
        <v>2.25</v>
      </c>
      <c r="T83" s="3">
        <f>K83*Criterios_Match!$C$10</f>
        <v>5.4</v>
      </c>
      <c r="U83" s="3">
        <f>L83*Criterios_Match!$C$11</f>
        <v>4</v>
      </c>
      <c r="V83" s="3">
        <f>M83*Criterios_Match!$C$12</f>
        <v>5</v>
      </c>
      <c r="W83" s="3">
        <f t="shared" si="4"/>
        <v>64.58</v>
      </c>
      <c r="X83" s="3">
        <f t="shared" si="5"/>
        <v>10</v>
      </c>
      <c r="Y83" s="2" t="s">
        <v>308</v>
      </c>
      <c r="Z83" s="2" t="s">
        <v>314</v>
      </c>
      <c r="AA83" s="2"/>
      <c r="AB83" s="2"/>
      <c r="AC83" s="2" t="s">
        <v>319</v>
      </c>
    </row>
    <row r="84" spans="1:29" ht="57">
      <c r="A84" s="2" t="s">
        <v>211</v>
      </c>
      <c r="B84" s="2" t="s">
        <v>212</v>
      </c>
      <c r="C84" s="2" t="s">
        <v>162</v>
      </c>
      <c r="D84" s="2" t="s">
        <v>163</v>
      </c>
      <c r="E84" s="3">
        <v>0.38</v>
      </c>
      <c r="F84" s="3">
        <v>0</v>
      </c>
      <c r="G84" s="3">
        <v>0.75</v>
      </c>
      <c r="H84" s="3">
        <v>0.97</v>
      </c>
      <c r="I84" s="3">
        <v>0.95</v>
      </c>
      <c r="J84" s="3">
        <v>0.9</v>
      </c>
      <c r="K84" s="3">
        <v>1</v>
      </c>
      <c r="L84" s="3">
        <v>0.85</v>
      </c>
      <c r="M84" s="3">
        <v>0.95</v>
      </c>
      <c r="N84" s="3">
        <v>6.35</v>
      </c>
      <c r="O84" s="3">
        <f>E84*Criterios_Match!$C$5</f>
        <v>11.4</v>
      </c>
      <c r="P84" s="3">
        <f>G84*Criterios_Match!$C$6</f>
        <v>13.5</v>
      </c>
      <c r="Q84" s="3">
        <f>H84*Criterios_Match!$C$7</f>
        <v>13.58</v>
      </c>
      <c r="R84" s="3">
        <f>I84*Criterios_Match!$C$8</f>
        <v>13.299999999999999</v>
      </c>
      <c r="S84" s="3">
        <f>J84*Criterios_Match!$C$9</f>
        <v>8.1</v>
      </c>
      <c r="T84" s="3">
        <f>K84*Criterios_Match!$C$10</f>
        <v>6</v>
      </c>
      <c r="U84" s="3">
        <f>L84*Criterios_Match!$C$11</f>
        <v>3.4</v>
      </c>
      <c r="V84" s="3">
        <f>M84*Criterios_Match!$C$12</f>
        <v>4.75</v>
      </c>
      <c r="W84" s="3">
        <f t="shared" si="4"/>
        <v>80.38</v>
      </c>
      <c r="X84" s="3">
        <f t="shared" si="5"/>
        <v>4</v>
      </c>
      <c r="Y84" s="2" t="s">
        <v>308</v>
      </c>
      <c r="Z84" s="2" t="s">
        <v>327</v>
      </c>
      <c r="AA84" s="2" t="s">
        <v>310</v>
      </c>
      <c r="AB84" s="2" t="s">
        <v>315</v>
      </c>
      <c r="AC84" s="2" t="s">
        <v>319</v>
      </c>
    </row>
    <row r="85" spans="1:29" ht="57">
      <c r="A85" s="2" t="s">
        <v>217</v>
      </c>
      <c r="B85" s="2" t="s">
        <v>218</v>
      </c>
      <c r="C85" s="2" t="s">
        <v>41</v>
      </c>
      <c r="D85" s="2" t="s">
        <v>42</v>
      </c>
      <c r="E85" s="3">
        <v>0.53</v>
      </c>
      <c r="F85" s="3">
        <v>0</v>
      </c>
      <c r="G85" s="3">
        <v>0.65</v>
      </c>
      <c r="H85" s="3">
        <v>0.9</v>
      </c>
      <c r="I85" s="3">
        <v>0.91</v>
      </c>
      <c r="J85" s="3">
        <v>0.25</v>
      </c>
      <c r="K85" s="3">
        <v>1</v>
      </c>
      <c r="L85" s="3">
        <v>1</v>
      </c>
      <c r="M85" s="3">
        <v>1</v>
      </c>
      <c r="N85" s="3">
        <v>3.45</v>
      </c>
      <c r="O85" s="3">
        <f>E85*Criterios_Match!$C$5</f>
        <v>15.9</v>
      </c>
      <c r="P85" s="3">
        <f>G85*Criterios_Match!$C$6</f>
        <v>11.700000000000001</v>
      </c>
      <c r="Q85" s="3">
        <f>H85*Criterios_Match!$C$7</f>
        <v>12.6</v>
      </c>
      <c r="R85" s="3">
        <f>I85*Criterios_Match!$C$8</f>
        <v>12.74</v>
      </c>
      <c r="S85" s="3">
        <f>J85*Criterios_Match!$C$9</f>
        <v>2.25</v>
      </c>
      <c r="T85" s="3">
        <f>K85*Criterios_Match!$C$10</f>
        <v>6</v>
      </c>
      <c r="U85" s="3">
        <f>L85*Criterios_Match!$C$11</f>
        <v>4</v>
      </c>
      <c r="V85" s="3">
        <f>M85*Criterios_Match!$C$12</f>
        <v>5</v>
      </c>
      <c r="W85" s="3">
        <f t="shared" si="4"/>
        <v>73.64</v>
      </c>
      <c r="X85" s="3">
        <f t="shared" si="5"/>
        <v>6</v>
      </c>
      <c r="Y85" s="2" t="s">
        <v>308</v>
      </c>
      <c r="Z85" s="2" t="s">
        <v>313</v>
      </c>
      <c r="AA85" s="2" t="s">
        <v>311</v>
      </c>
      <c r="AB85" s="2" t="s">
        <v>314</v>
      </c>
      <c r="AC85" s="2" t="s">
        <v>323</v>
      </c>
    </row>
    <row r="86" spans="1:29" ht="57">
      <c r="A86" s="2" t="s">
        <v>217</v>
      </c>
      <c r="B86" s="2" t="s">
        <v>218</v>
      </c>
      <c r="C86" s="2" t="s">
        <v>51</v>
      </c>
      <c r="D86" s="2" t="s">
        <v>52</v>
      </c>
      <c r="E86" s="3">
        <v>0.5</v>
      </c>
      <c r="F86" s="3">
        <v>0</v>
      </c>
      <c r="G86" s="3">
        <v>0.65</v>
      </c>
      <c r="H86" s="3">
        <v>0.54</v>
      </c>
      <c r="I86" s="3">
        <v>0.98</v>
      </c>
      <c r="J86" s="3">
        <v>1</v>
      </c>
      <c r="K86" s="3">
        <v>0.96</v>
      </c>
      <c r="L86" s="3">
        <v>1</v>
      </c>
      <c r="M86" s="3">
        <v>0.95</v>
      </c>
      <c r="N86" s="3">
        <v>4.62</v>
      </c>
      <c r="O86" s="3">
        <f>E86*Criterios_Match!$C$5</f>
        <v>15</v>
      </c>
      <c r="P86" s="3">
        <f>G86*Criterios_Match!$C$6</f>
        <v>11.700000000000001</v>
      </c>
      <c r="Q86" s="3">
        <f>H86*Criterios_Match!$C$7</f>
        <v>7.5600000000000005</v>
      </c>
      <c r="R86" s="3">
        <f>I86*Criterios_Match!$C$8</f>
        <v>13.719999999999999</v>
      </c>
      <c r="S86" s="3">
        <f>J86*Criterios_Match!$C$9</f>
        <v>9</v>
      </c>
      <c r="T86" s="3">
        <f>K86*Criterios_Match!$C$10</f>
        <v>5.76</v>
      </c>
      <c r="U86" s="3">
        <f>L86*Criterios_Match!$C$11</f>
        <v>4</v>
      </c>
      <c r="V86" s="3">
        <f>M86*Criterios_Match!$C$12</f>
        <v>4.75</v>
      </c>
      <c r="W86" s="3">
        <f t="shared" si="4"/>
        <v>76.11</v>
      </c>
      <c r="X86" s="3">
        <f t="shared" si="5"/>
        <v>3</v>
      </c>
      <c r="Y86" s="2" t="s">
        <v>308</v>
      </c>
      <c r="Z86" s="2" t="s">
        <v>313</v>
      </c>
      <c r="AA86" s="2" t="s">
        <v>328</v>
      </c>
      <c r="AB86" s="2" t="s">
        <v>314</v>
      </c>
      <c r="AC86" s="2" t="s">
        <v>323</v>
      </c>
    </row>
    <row r="87" spans="1:29" ht="57">
      <c r="A87" s="2" t="s">
        <v>217</v>
      </c>
      <c r="B87" s="2" t="s">
        <v>218</v>
      </c>
      <c r="C87" s="2" t="s">
        <v>62</v>
      </c>
      <c r="D87" s="2" t="s">
        <v>63</v>
      </c>
      <c r="E87" s="3">
        <v>0.2</v>
      </c>
      <c r="F87" s="3">
        <v>0</v>
      </c>
      <c r="G87" s="3">
        <v>0.65</v>
      </c>
      <c r="H87" s="3">
        <v>0.85</v>
      </c>
      <c r="I87" s="3">
        <v>0.73</v>
      </c>
      <c r="J87" s="3">
        <v>0.25</v>
      </c>
      <c r="K87" s="3">
        <v>1</v>
      </c>
      <c r="L87" s="3">
        <v>0.4</v>
      </c>
      <c r="M87" s="3">
        <v>0.95</v>
      </c>
      <c r="N87" s="3">
        <v>3.3</v>
      </c>
      <c r="O87" s="3">
        <f>E87*Criterios_Match!$C$5</f>
        <v>6</v>
      </c>
      <c r="P87" s="3">
        <f>G87*Criterios_Match!$C$6</f>
        <v>11.700000000000001</v>
      </c>
      <c r="Q87" s="3">
        <f>H87*Criterios_Match!$C$7</f>
        <v>11.9</v>
      </c>
      <c r="R87" s="3">
        <f>I87*Criterios_Match!$C$8</f>
        <v>10.219999999999999</v>
      </c>
      <c r="S87" s="3">
        <f>J87*Criterios_Match!$C$9</f>
        <v>2.25</v>
      </c>
      <c r="T87" s="3">
        <f>K87*Criterios_Match!$C$10</f>
        <v>6</v>
      </c>
      <c r="U87" s="3">
        <f>L87*Criterios_Match!$C$11</f>
        <v>1.6</v>
      </c>
      <c r="V87" s="3">
        <f>M87*Criterios_Match!$C$12</f>
        <v>4.75</v>
      </c>
      <c r="W87" s="3">
        <f t="shared" si="4"/>
        <v>57.72</v>
      </c>
      <c r="X87" s="3">
        <f t="shared" si="5"/>
        <v>20</v>
      </c>
      <c r="Y87" s="2" t="s">
        <v>308</v>
      </c>
      <c r="Z87" s="2" t="s">
        <v>311</v>
      </c>
      <c r="AA87" s="2" t="s">
        <v>314</v>
      </c>
      <c r="AB87" s="2"/>
      <c r="AC87" s="2" t="s">
        <v>323</v>
      </c>
    </row>
    <row r="88" spans="1:29" ht="57">
      <c r="A88" s="2" t="s">
        <v>217</v>
      </c>
      <c r="B88" s="2" t="s">
        <v>218</v>
      </c>
      <c r="C88" s="2" t="s">
        <v>71</v>
      </c>
      <c r="D88" s="2" t="s">
        <v>72</v>
      </c>
      <c r="E88" s="3">
        <v>0.45</v>
      </c>
      <c r="F88" s="3">
        <v>0</v>
      </c>
      <c r="G88" s="3">
        <v>0.65</v>
      </c>
      <c r="H88" s="3">
        <v>0.74</v>
      </c>
      <c r="I88" s="3">
        <v>0.59</v>
      </c>
      <c r="J88" s="3">
        <v>0.25</v>
      </c>
      <c r="K88" s="3">
        <v>0.9</v>
      </c>
      <c r="L88" s="3">
        <v>0.4</v>
      </c>
      <c r="M88" s="3">
        <v>1</v>
      </c>
      <c r="N88" s="3">
        <v>2.97</v>
      </c>
      <c r="O88" s="3">
        <f>E88*Criterios_Match!$C$5</f>
        <v>13.5</v>
      </c>
      <c r="P88" s="3">
        <f>G88*Criterios_Match!$C$6</f>
        <v>11.700000000000001</v>
      </c>
      <c r="Q88" s="3">
        <f>H88*Criterios_Match!$C$7</f>
        <v>10.36</v>
      </c>
      <c r="R88" s="3">
        <f>I88*Criterios_Match!$C$8</f>
        <v>8.26</v>
      </c>
      <c r="S88" s="3">
        <f>J88*Criterios_Match!$C$9</f>
        <v>2.25</v>
      </c>
      <c r="T88" s="3">
        <f>K88*Criterios_Match!$C$10</f>
        <v>5.4</v>
      </c>
      <c r="U88" s="3">
        <f>L88*Criterios_Match!$C$11</f>
        <v>1.6</v>
      </c>
      <c r="V88" s="3">
        <f>M88*Criterios_Match!$C$12</f>
        <v>5</v>
      </c>
      <c r="W88" s="3">
        <f t="shared" si="4"/>
        <v>61.04</v>
      </c>
      <c r="X88" s="3">
        <f t="shared" si="5"/>
        <v>17</v>
      </c>
      <c r="Y88" s="2" t="s">
        <v>308</v>
      </c>
      <c r="Z88" s="2" t="s">
        <v>313</v>
      </c>
      <c r="AA88" s="2" t="s">
        <v>314</v>
      </c>
      <c r="AB88" s="2"/>
      <c r="AC88" s="2" t="s">
        <v>323</v>
      </c>
    </row>
    <row r="89" spans="1:29" ht="57">
      <c r="A89" s="2" t="s">
        <v>217</v>
      </c>
      <c r="B89" s="2" t="s">
        <v>218</v>
      </c>
      <c r="C89" s="2" t="s">
        <v>81</v>
      </c>
      <c r="D89" s="2" t="s">
        <v>82</v>
      </c>
      <c r="E89" s="3">
        <v>0.33</v>
      </c>
      <c r="F89" s="3">
        <v>0</v>
      </c>
      <c r="G89" s="3">
        <v>0.65</v>
      </c>
      <c r="H89" s="3">
        <v>0.62</v>
      </c>
      <c r="I89" s="3">
        <v>0.98</v>
      </c>
      <c r="J89" s="3">
        <v>0.25</v>
      </c>
      <c r="K89" s="3">
        <v>0.96</v>
      </c>
      <c r="L89" s="3">
        <v>1</v>
      </c>
      <c r="M89" s="3">
        <v>0.85</v>
      </c>
      <c r="N89" s="3">
        <v>2.61</v>
      </c>
      <c r="O89" s="3">
        <f>E89*Criterios_Match!$C$5</f>
        <v>9.9</v>
      </c>
      <c r="P89" s="3">
        <f>G89*Criterios_Match!$C$6</f>
        <v>11.700000000000001</v>
      </c>
      <c r="Q89" s="3">
        <f>H89*Criterios_Match!$C$7</f>
        <v>8.68</v>
      </c>
      <c r="R89" s="3">
        <f>I89*Criterios_Match!$C$8</f>
        <v>13.719999999999999</v>
      </c>
      <c r="S89" s="3">
        <f>J89*Criterios_Match!$C$9</f>
        <v>2.25</v>
      </c>
      <c r="T89" s="3">
        <f>K89*Criterios_Match!$C$10</f>
        <v>5.76</v>
      </c>
      <c r="U89" s="3">
        <f>L89*Criterios_Match!$C$11</f>
        <v>4</v>
      </c>
      <c r="V89" s="3">
        <f>M89*Criterios_Match!$C$12</f>
        <v>4.25</v>
      </c>
      <c r="W89" s="3">
        <f t="shared" si="4"/>
        <v>62.87</v>
      </c>
      <c r="X89" s="3">
        <f t="shared" si="5"/>
        <v>14</v>
      </c>
      <c r="Y89" s="2" t="s">
        <v>308</v>
      </c>
      <c r="Z89" s="2" t="s">
        <v>314</v>
      </c>
      <c r="AA89" s="2"/>
      <c r="AB89" s="2"/>
      <c r="AC89" s="2" t="s">
        <v>323</v>
      </c>
    </row>
    <row r="90" spans="1:29" ht="57">
      <c r="A90" s="2" t="s">
        <v>217</v>
      </c>
      <c r="B90" s="2" t="s">
        <v>218</v>
      </c>
      <c r="C90" s="2" t="s">
        <v>87</v>
      </c>
      <c r="D90" s="2" t="s">
        <v>88</v>
      </c>
      <c r="E90" s="3">
        <v>0.5</v>
      </c>
      <c r="F90" s="3">
        <v>0</v>
      </c>
      <c r="G90" s="3">
        <v>0.65</v>
      </c>
      <c r="H90" s="3">
        <v>0.31</v>
      </c>
      <c r="I90" s="3">
        <v>0.98</v>
      </c>
      <c r="J90" s="3">
        <v>1</v>
      </c>
      <c r="K90" s="3">
        <v>0.84</v>
      </c>
      <c r="L90" s="3">
        <v>1</v>
      </c>
      <c r="M90" s="3">
        <v>0.95</v>
      </c>
      <c r="N90" s="3">
        <v>3.93</v>
      </c>
      <c r="O90" s="3">
        <f>E90*Criterios_Match!$C$5</f>
        <v>15</v>
      </c>
      <c r="P90" s="3">
        <f>G90*Criterios_Match!$C$6</f>
        <v>11.700000000000001</v>
      </c>
      <c r="Q90" s="3">
        <f>H90*Criterios_Match!$C$7</f>
        <v>4.34</v>
      </c>
      <c r="R90" s="3">
        <f>I90*Criterios_Match!$C$8</f>
        <v>13.719999999999999</v>
      </c>
      <c r="S90" s="3">
        <f>J90*Criterios_Match!$C$9</f>
        <v>9</v>
      </c>
      <c r="T90" s="3">
        <f>K90*Criterios_Match!$C$10</f>
        <v>5.04</v>
      </c>
      <c r="U90" s="3">
        <f>L90*Criterios_Match!$C$11</f>
        <v>4</v>
      </c>
      <c r="V90" s="3">
        <f>M90*Criterios_Match!$C$12</f>
        <v>4.75</v>
      </c>
      <c r="W90" s="3">
        <f t="shared" si="4"/>
        <v>71.48</v>
      </c>
      <c r="X90" s="3">
        <f t="shared" si="5"/>
        <v>8</v>
      </c>
      <c r="Y90" s="2" t="s">
        <v>308</v>
      </c>
      <c r="Z90" s="2" t="s">
        <v>313</v>
      </c>
      <c r="AA90" s="2" t="s">
        <v>328</v>
      </c>
      <c r="AB90" s="2"/>
      <c r="AC90" s="2" t="s">
        <v>323</v>
      </c>
    </row>
    <row r="91" spans="1:29" ht="57">
      <c r="A91" s="2" t="s">
        <v>217</v>
      </c>
      <c r="B91" s="2" t="s">
        <v>218</v>
      </c>
      <c r="C91" s="2" t="s">
        <v>94</v>
      </c>
      <c r="D91" s="2" t="s">
        <v>95</v>
      </c>
      <c r="E91" s="3">
        <v>0.38</v>
      </c>
      <c r="F91" s="3">
        <v>0</v>
      </c>
      <c r="G91" s="3">
        <v>0.65</v>
      </c>
      <c r="H91" s="3">
        <v>0.78</v>
      </c>
      <c r="I91" s="3">
        <v>0.66</v>
      </c>
      <c r="J91" s="3">
        <v>0.25</v>
      </c>
      <c r="K91" s="3">
        <v>1</v>
      </c>
      <c r="L91" s="3">
        <v>0.4</v>
      </c>
      <c r="M91" s="3">
        <v>1</v>
      </c>
      <c r="N91" s="3">
        <v>3.09</v>
      </c>
      <c r="O91" s="3">
        <f>E91*Criterios_Match!$C$5</f>
        <v>11.4</v>
      </c>
      <c r="P91" s="3">
        <f>G91*Criterios_Match!$C$6</f>
        <v>11.700000000000001</v>
      </c>
      <c r="Q91" s="3">
        <f>H91*Criterios_Match!$C$7</f>
        <v>10.92</v>
      </c>
      <c r="R91" s="3">
        <f>I91*Criterios_Match!$C$8</f>
        <v>9.24</v>
      </c>
      <c r="S91" s="3">
        <f>J91*Criterios_Match!$C$9</f>
        <v>2.25</v>
      </c>
      <c r="T91" s="3">
        <f>K91*Criterios_Match!$C$10</f>
        <v>6</v>
      </c>
      <c r="U91" s="3">
        <f>L91*Criterios_Match!$C$11</f>
        <v>1.6</v>
      </c>
      <c r="V91" s="3">
        <f>M91*Criterios_Match!$C$12</f>
        <v>5</v>
      </c>
      <c r="W91" s="3">
        <f t="shared" si="4"/>
        <v>61.2</v>
      </c>
      <c r="X91" s="3">
        <f t="shared" si="5"/>
        <v>16</v>
      </c>
      <c r="Y91" s="2" t="s">
        <v>308</v>
      </c>
      <c r="Z91" s="2" t="s">
        <v>314</v>
      </c>
      <c r="AA91" s="2"/>
      <c r="AB91" s="2"/>
      <c r="AC91" s="2" t="s">
        <v>323</v>
      </c>
    </row>
    <row r="92" spans="1:29" ht="57">
      <c r="A92" s="2" t="s">
        <v>217</v>
      </c>
      <c r="B92" s="2" t="s">
        <v>218</v>
      </c>
      <c r="C92" s="2" t="s">
        <v>101</v>
      </c>
      <c r="D92" s="2" t="s">
        <v>102</v>
      </c>
      <c r="E92" s="3">
        <v>0.38</v>
      </c>
      <c r="F92" s="3">
        <v>0.2</v>
      </c>
      <c r="G92" s="3">
        <v>0.65</v>
      </c>
      <c r="H92" s="3">
        <v>0.54</v>
      </c>
      <c r="I92" s="3">
        <v>0.91</v>
      </c>
      <c r="J92" s="3">
        <v>0.9</v>
      </c>
      <c r="K92" s="3">
        <v>0.96</v>
      </c>
      <c r="L92" s="3">
        <v>1</v>
      </c>
      <c r="M92" s="3">
        <v>1</v>
      </c>
      <c r="N92" s="3">
        <v>4.32</v>
      </c>
      <c r="O92" s="3">
        <f>E92*Criterios_Match!$C$5</f>
        <v>11.4</v>
      </c>
      <c r="P92" s="3">
        <f>G92*Criterios_Match!$C$6</f>
        <v>11.700000000000001</v>
      </c>
      <c r="Q92" s="3">
        <f>H92*Criterios_Match!$C$7</f>
        <v>7.5600000000000005</v>
      </c>
      <c r="R92" s="3">
        <f>I92*Criterios_Match!$C$8</f>
        <v>12.74</v>
      </c>
      <c r="S92" s="3">
        <f>J92*Criterios_Match!$C$9</f>
        <v>8.1</v>
      </c>
      <c r="T92" s="3">
        <f>K92*Criterios_Match!$C$10</f>
        <v>5.76</v>
      </c>
      <c r="U92" s="3">
        <f>L92*Criterios_Match!$C$11</f>
        <v>4</v>
      </c>
      <c r="V92" s="3">
        <f>M92*Criterios_Match!$C$12</f>
        <v>5</v>
      </c>
      <c r="W92" s="3">
        <f t="shared" si="4"/>
        <v>70.58</v>
      </c>
      <c r="X92" s="3">
        <f t="shared" si="5"/>
        <v>10</v>
      </c>
      <c r="Y92" s="2" t="s">
        <v>308</v>
      </c>
      <c r="Z92" s="2" t="s">
        <v>328</v>
      </c>
      <c r="AA92" s="2" t="s">
        <v>314</v>
      </c>
      <c r="AB92" s="2"/>
      <c r="AC92" s="2" t="s">
        <v>323</v>
      </c>
    </row>
    <row r="93" spans="1:29" ht="57">
      <c r="A93" s="2" t="s">
        <v>217</v>
      </c>
      <c r="B93" s="2" t="s">
        <v>218</v>
      </c>
      <c r="C93" s="2" t="s">
        <v>106</v>
      </c>
      <c r="D93" s="2" t="s">
        <v>107</v>
      </c>
      <c r="E93" s="3">
        <v>0.33</v>
      </c>
      <c r="F93" s="3">
        <v>0</v>
      </c>
      <c r="G93" s="3">
        <v>0.65</v>
      </c>
      <c r="H93" s="3">
        <v>0.77</v>
      </c>
      <c r="I93" s="3">
        <v>0.73</v>
      </c>
      <c r="J93" s="3">
        <v>0.25</v>
      </c>
      <c r="K93" s="3">
        <v>1</v>
      </c>
      <c r="L93" s="3">
        <v>0.4</v>
      </c>
      <c r="M93" s="3">
        <v>0.95</v>
      </c>
      <c r="N93" s="3">
        <v>3.06</v>
      </c>
      <c r="O93" s="3">
        <f>E93*Criterios_Match!$C$5</f>
        <v>9.9</v>
      </c>
      <c r="P93" s="3">
        <f>G93*Criterios_Match!$C$6</f>
        <v>11.700000000000001</v>
      </c>
      <c r="Q93" s="3">
        <f>H93*Criterios_Match!$C$7</f>
        <v>10.780000000000001</v>
      </c>
      <c r="R93" s="3">
        <f>I93*Criterios_Match!$C$8</f>
        <v>10.219999999999999</v>
      </c>
      <c r="S93" s="3">
        <f>J93*Criterios_Match!$C$9</f>
        <v>2.25</v>
      </c>
      <c r="T93" s="3">
        <f>K93*Criterios_Match!$C$10</f>
        <v>6</v>
      </c>
      <c r="U93" s="3">
        <f>L93*Criterios_Match!$C$11</f>
        <v>1.6</v>
      </c>
      <c r="V93" s="3">
        <f>M93*Criterios_Match!$C$12</f>
        <v>4.75</v>
      </c>
      <c r="W93" s="3">
        <f t="shared" si="4"/>
        <v>60.26</v>
      </c>
      <c r="X93" s="3">
        <f t="shared" si="5"/>
        <v>18</v>
      </c>
      <c r="Y93" s="2" t="s">
        <v>308</v>
      </c>
      <c r="Z93" s="2" t="s">
        <v>314</v>
      </c>
      <c r="AA93" s="2"/>
      <c r="AB93" s="2"/>
      <c r="AC93" s="2" t="s">
        <v>323</v>
      </c>
    </row>
    <row r="94" spans="1:29" ht="42.75">
      <c r="A94" s="2" t="s">
        <v>217</v>
      </c>
      <c r="B94" s="2" t="s">
        <v>218</v>
      </c>
      <c r="C94" s="2" t="s">
        <v>115</v>
      </c>
      <c r="D94" s="2" t="s">
        <v>116</v>
      </c>
      <c r="E94" s="3">
        <v>0.67</v>
      </c>
      <c r="F94" s="3">
        <v>0.4</v>
      </c>
      <c r="G94" s="3">
        <v>0.65</v>
      </c>
      <c r="H94" s="3">
        <v>0.62</v>
      </c>
      <c r="I94" s="3">
        <v>0.91</v>
      </c>
      <c r="J94" s="3">
        <v>0.25</v>
      </c>
      <c r="K94" s="3">
        <v>0.99</v>
      </c>
      <c r="L94" s="3">
        <v>1</v>
      </c>
      <c r="M94" s="3">
        <v>1</v>
      </c>
      <c r="N94" s="3">
        <v>2.61</v>
      </c>
      <c r="O94" s="3">
        <f>E94*Criterios_Match!$C$5</f>
        <v>20.100000000000001</v>
      </c>
      <c r="P94" s="3">
        <f>G94*Criterios_Match!$C$6</f>
        <v>11.700000000000001</v>
      </c>
      <c r="Q94" s="3">
        <f>H94*Criterios_Match!$C$7</f>
        <v>8.68</v>
      </c>
      <c r="R94" s="3">
        <f>I94*Criterios_Match!$C$8</f>
        <v>12.74</v>
      </c>
      <c r="S94" s="3">
        <f>J94*Criterios_Match!$C$9</f>
        <v>2.25</v>
      </c>
      <c r="T94" s="3">
        <f>K94*Criterios_Match!$C$10</f>
        <v>5.9399999999999995</v>
      </c>
      <c r="U94" s="3">
        <f>L94*Criterios_Match!$C$11</f>
        <v>4</v>
      </c>
      <c r="V94" s="3">
        <f>M94*Criterios_Match!$C$12</f>
        <v>5</v>
      </c>
      <c r="W94" s="3">
        <f t="shared" si="4"/>
        <v>73.02</v>
      </c>
      <c r="X94" s="3">
        <f t="shared" si="5"/>
        <v>7</v>
      </c>
      <c r="Y94" s="2" t="s">
        <v>308</v>
      </c>
      <c r="Z94" s="2" t="s">
        <v>313</v>
      </c>
      <c r="AA94" s="2" t="s">
        <v>314</v>
      </c>
      <c r="AB94" s="2"/>
      <c r="AC94" s="2" t="s">
        <v>329</v>
      </c>
    </row>
    <row r="95" spans="1:29" ht="57">
      <c r="A95" s="2" t="s">
        <v>217</v>
      </c>
      <c r="B95" s="2" t="s">
        <v>218</v>
      </c>
      <c r="C95" s="2" t="s">
        <v>119</v>
      </c>
      <c r="D95" s="2" t="s">
        <v>120</v>
      </c>
      <c r="E95" s="3">
        <v>0.48</v>
      </c>
      <c r="F95" s="3">
        <v>0</v>
      </c>
      <c r="G95" s="3">
        <v>0.65</v>
      </c>
      <c r="H95" s="3">
        <v>0.86</v>
      </c>
      <c r="I95" s="3">
        <v>0.91</v>
      </c>
      <c r="J95" s="3">
        <v>0.9</v>
      </c>
      <c r="K95" s="3">
        <v>0.9</v>
      </c>
      <c r="L95" s="3">
        <v>1</v>
      </c>
      <c r="M95" s="3">
        <v>1</v>
      </c>
      <c r="N95" s="3">
        <v>5.28</v>
      </c>
      <c r="O95" s="3">
        <f>E95*Criterios_Match!$C$5</f>
        <v>14.399999999999999</v>
      </c>
      <c r="P95" s="3">
        <f>G95*Criterios_Match!$C$6</f>
        <v>11.700000000000001</v>
      </c>
      <c r="Q95" s="3">
        <f>H95*Criterios_Match!$C$7</f>
        <v>12.04</v>
      </c>
      <c r="R95" s="3">
        <f>I95*Criterios_Match!$C$8</f>
        <v>12.74</v>
      </c>
      <c r="S95" s="3">
        <f>J95*Criterios_Match!$C$9</f>
        <v>8.1</v>
      </c>
      <c r="T95" s="3">
        <f>K95*Criterios_Match!$C$10</f>
        <v>5.4</v>
      </c>
      <c r="U95" s="3">
        <f>L95*Criterios_Match!$C$11</f>
        <v>4</v>
      </c>
      <c r="V95" s="3">
        <f>M95*Criterios_Match!$C$12</f>
        <v>5</v>
      </c>
      <c r="W95" s="3">
        <f t="shared" si="4"/>
        <v>78.66</v>
      </c>
      <c r="X95" s="3">
        <f t="shared" si="5"/>
        <v>1</v>
      </c>
      <c r="Y95" s="2" t="s">
        <v>308</v>
      </c>
      <c r="Z95" s="2" t="s">
        <v>313</v>
      </c>
      <c r="AA95" s="2" t="s">
        <v>328</v>
      </c>
      <c r="AB95" s="2" t="s">
        <v>311</v>
      </c>
      <c r="AC95" s="2" t="s">
        <v>323</v>
      </c>
    </row>
    <row r="96" spans="1:29" ht="57">
      <c r="A96" s="2" t="s">
        <v>217</v>
      </c>
      <c r="B96" s="2" t="s">
        <v>218</v>
      </c>
      <c r="C96" s="2" t="s">
        <v>126</v>
      </c>
      <c r="D96" s="2" t="s">
        <v>127</v>
      </c>
      <c r="E96" s="3">
        <v>0.4</v>
      </c>
      <c r="F96" s="3">
        <v>0</v>
      </c>
      <c r="G96" s="3">
        <v>0.65</v>
      </c>
      <c r="H96" s="3">
        <v>0.74</v>
      </c>
      <c r="I96" s="3">
        <v>0.73</v>
      </c>
      <c r="J96" s="3">
        <v>0.25</v>
      </c>
      <c r="K96" s="3">
        <v>1</v>
      </c>
      <c r="L96" s="3">
        <v>0.4</v>
      </c>
      <c r="M96" s="3">
        <v>1</v>
      </c>
      <c r="N96" s="3">
        <v>2.97</v>
      </c>
      <c r="O96" s="3">
        <f>E96*Criterios_Match!$C$5</f>
        <v>12</v>
      </c>
      <c r="P96" s="3">
        <f>G96*Criterios_Match!$C$6</f>
        <v>11.700000000000001</v>
      </c>
      <c r="Q96" s="3">
        <f>H96*Criterios_Match!$C$7</f>
        <v>10.36</v>
      </c>
      <c r="R96" s="3">
        <f>I96*Criterios_Match!$C$8</f>
        <v>10.219999999999999</v>
      </c>
      <c r="S96" s="3">
        <f>J96*Criterios_Match!$C$9</f>
        <v>2.25</v>
      </c>
      <c r="T96" s="3">
        <f>K96*Criterios_Match!$C$10</f>
        <v>6</v>
      </c>
      <c r="U96" s="3">
        <f>L96*Criterios_Match!$C$11</f>
        <v>1.6</v>
      </c>
      <c r="V96" s="3">
        <f>M96*Criterios_Match!$C$12</f>
        <v>5</v>
      </c>
      <c r="W96" s="3">
        <f t="shared" si="4"/>
        <v>62.1</v>
      </c>
      <c r="X96" s="3">
        <f t="shared" si="5"/>
        <v>15</v>
      </c>
      <c r="Y96" s="2" t="s">
        <v>308</v>
      </c>
      <c r="Z96" s="2" t="s">
        <v>314</v>
      </c>
      <c r="AA96" s="2"/>
      <c r="AB96" s="2"/>
      <c r="AC96" s="2" t="s">
        <v>323</v>
      </c>
    </row>
    <row r="97" spans="1:29" ht="57">
      <c r="A97" s="2" t="s">
        <v>217</v>
      </c>
      <c r="B97" s="2" t="s">
        <v>218</v>
      </c>
      <c r="C97" s="2" t="s">
        <v>133</v>
      </c>
      <c r="D97" s="2" t="s">
        <v>134</v>
      </c>
      <c r="E97" s="3">
        <v>0.53</v>
      </c>
      <c r="F97" s="3">
        <v>0</v>
      </c>
      <c r="G97" s="3">
        <v>0.65</v>
      </c>
      <c r="H97" s="3">
        <v>0.62</v>
      </c>
      <c r="I97" s="3">
        <v>0.98</v>
      </c>
      <c r="J97" s="3">
        <v>0.25</v>
      </c>
      <c r="K97" s="3">
        <v>0.93</v>
      </c>
      <c r="L97" s="3">
        <v>1</v>
      </c>
      <c r="M97" s="3">
        <v>0.95</v>
      </c>
      <c r="N97" s="3">
        <v>2.61</v>
      </c>
      <c r="O97" s="3">
        <f>E97*Criterios_Match!$C$5</f>
        <v>15.9</v>
      </c>
      <c r="P97" s="3">
        <f>G97*Criterios_Match!$C$6</f>
        <v>11.700000000000001</v>
      </c>
      <c r="Q97" s="3">
        <f>H97*Criterios_Match!$C$7</f>
        <v>8.68</v>
      </c>
      <c r="R97" s="3">
        <f>I97*Criterios_Match!$C$8</f>
        <v>13.719999999999999</v>
      </c>
      <c r="S97" s="3">
        <f>J97*Criterios_Match!$C$9</f>
        <v>2.25</v>
      </c>
      <c r="T97" s="3">
        <f>K97*Criterios_Match!$C$10</f>
        <v>5.58</v>
      </c>
      <c r="U97" s="3">
        <f>L97*Criterios_Match!$C$11</f>
        <v>4</v>
      </c>
      <c r="V97" s="3">
        <f>M97*Criterios_Match!$C$12</f>
        <v>4.75</v>
      </c>
      <c r="W97" s="3">
        <f t="shared" si="4"/>
        <v>69.19</v>
      </c>
      <c r="X97" s="3">
        <f t="shared" si="5"/>
        <v>11</v>
      </c>
      <c r="Y97" s="2" t="s">
        <v>308</v>
      </c>
      <c r="Z97" s="2" t="s">
        <v>313</v>
      </c>
      <c r="AA97" s="2" t="s">
        <v>314</v>
      </c>
      <c r="AB97" s="2"/>
      <c r="AC97" s="2" t="s">
        <v>323</v>
      </c>
    </row>
    <row r="98" spans="1:29" ht="57">
      <c r="A98" s="2" t="s">
        <v>217</v>
      </c>
      <c r="B98" s="2" t="s">
        <v>218</v>
      </c>
      <c r="C98" s="2" t="s">
        <v>138</v>
      </c>
      <c r="D98" s="2" t="s">
        <v>139</v>
      </c>
      <c r="E98" s="3">
        <v>0.38</v>
      </c>
      <c r="F98" s="3">
        <v>0</v>
      </c>
      <c r="G98" s="3">
        <v>0.65</v>
      </c>
      <c r="H98" s="3">
        <v>0.9</v>
      </c>
      <c r="I98" s="3">
        <v>0.91</v>
      </c>
      <c r="J98" s="3">
        <v>1</v>
      </c>
      <c r="K98" s="3">
        <v>1</v>
      </c>
      <c r="L98" s="3">
        <v>1</v>
      </c>
      <c r="M98" s="3">
        <v>1</v>
      </c>
      <c r="N98" s="3">
        <v>5.7</v>
      </c>
      <c r="O98" s="3">
        <f>E98*Criterios_Match!$C$5</f>
        <v>11.4</v>
      </c>
      <c r="P98" s="3">
        <f>G98*Criterios_Match!$C$6</f>
        <v>11.700000000000001</v>
      </c>
      <c r="Q98" s="3">
        <f>H98*Criterios_Match!$C$7</f>
        <v>12.6</v>
      </c>
      <c r="R98" s="3">
        <f>I98*Criterios_Match!$C$8</f>
        <v>12.74</v>
      </c>
      <c r="S98" s="3">
        <f>J98*Criterios_Match!$C$9</f>
        <v>9</v>
      </c>
      <c r="T98" s="3">
        <f>K98*Criterios_Match!$C$10</f>
        <v>6</v>
      </c>
      <c r="U98" s="3">
        <f>L98*Criterios_Match!$C$11</f>
        <v>4</v>
      </c>
      <c r="V98" s="3">
        <f>M98*Criterios_Match!$C$12</f>
        <v>5</v>
      </c>
      <c r="W98" s="3">
        <f t="shared" si="4"/>
        <v>78.14</v>
      </c>
      <c r="X98" s="3">
        <f t="shared" si="5"/>
        <v>2</v>
      </c>
      <c r="Y98" s="2" t="s">
        <v>308</v>
      </c>
      <c r="Z98" s="2" t="s">
        <v>328</v>
      </c>
      <c r="AA98" s="2" t="s">
        <v>311</v>
      </c>
      <c r="AB98" s="2" t="s">
        <v>314</v>
      </c>
      <c r="AC98" s="2" t="s">
        <v>323</v>
      </c>
    </row>
    <row r="99" spans="1:29" ht="57">
      <c r="A99" s="2" t="s">
        <v>217</v>
      </c>
      <c r="B99" s="2" t="s">
        <v>218</v>
      </c>
      <c r="C99" s="2" t="s">
        <v>142</v>
      </c>
      <c r="D99" s="2" t="s">
        <v>143</v>
      </c>
      <c r="E99" s="3">
        <v>0.2</v>
      </c>
      <c r="F99" s="3">
        <v>0</v>
      </c>
      <c r="G99" s="3">
        <v>0.65</v>
      </c>
      <c r="H99" s="3">
        <v>0.89</v>
      </c>
      <c r="I99" s="3">
        <v>0.73</v>
      </c>
      <c r="J99" s="3">
        <v>0.25</v>
      </c>
      <c r="K99" s="3">
        <v>0.99</v>
      </c>
      <c r="L99" s="3">
        <v>0.4</v>
      </c>
      <c r="M99" s="3">
        <v>0.95</v>
      </c>
      <c r="N99" s="3">
        <v>3.42</v>
      </c>
      <c r="O99" s="3">
        <f>E99*Criterios_Match!$C$5</f>
        <v>6</v>
      </c>
      <c r="P99" s="3">
        <f>G99*Criterios_Match!$C$6</f>
        <v>11.700000000000001</v>
      </c>
      <c r="Q99" s="3">
        <f>H99*Criterios_Match!$C$7</f>
        <v>12.46</v>
      </c>
      <c r="R99" s="3">
        <f>I99*Criterios_Match!$C$8</f>
        <v>10.219999999999999</v>
      </c>
      <c r="S99" s="3">
        <f>J99*Criterios_Match!$C$9</f>
        <v>2.25</v>
      </c>
      <c r="T99" s="3">
        <f>K99*Criterios_Match!$C$10</f>
        <v>5.9399999999999995</v>
      </c>
      <c r="U99" s="3">
        <f>L99*Criterios_Match!$C$11</f>
        <v>1.6</v>
      </c>
      <c r="V99" s="3">
        <f>M99*Criterios_Match!$C$12</f>
        <v>4.75</v>
      </c>
      <c r="W99" s="3">
        <f t="shared" si="4"/>
        <v>58.34</v>
      </c>
      <c r="X99" s="3">
        <f t="shared" si="5"/>
        <v>19</v>
      </c>
      <c r="Y99" s="2" t="s">
        <v>308</v>
      </c>
      <c r="Z99" s="2" t="s">
        <v>311</v>
      </c>
      <c r="AA99" s="2" t="s">
        <v>314</v>
      </c>
      <c r="AB99" s="2"/>
      <c r="AC99" s="2" t="s">
        <v>323</v>
      </c>
    </row>
    <row r="100" spans="1:29" ht="57">
      <c r="A100" s="2" t="s">
        <v>217</v>
      </c>
      <c r="B100" s="2" t="s">
        <v>218</v>
      </c>
      <c r="C100" s="2" t="s">
        <v>146</v>
      </c>
      <c r="D100" s="2" t="s">
        <v>147</v>
      </c>
      <c r="E100" s="3">
        <v>0.5</v>
      </c>
      <c r="F100" s="3">
        <v>0</v>
      </c>
      <c r="G100" s="3">
        <v>0.65</v>
      </c>
      <c r="H100" s="3">
        <v>0.26</v>
      </c>
      <c r="I100" s="3">
        <v>0.98</v>
      </c>
      <c r="J100" s="3">
        <v>0.9</v>
      </c>
      <c r="K100" s="3">
        <v>0.72</v>
      </c>
      <c r="L100" s="3">
        <v>1</v>
      </c>
      <c r="M100" s="3">
        <v>0.95</v>
      </c>
      <c r="N100" s="3">
        <v>3.48</v>
      </c>
      <c r="O100" s="3">
        <f>E100*Criterios_Match!$C$5</f>
        <v>15</v>
      </c>
      <c r="P100" s="3">
        <f>G100*Criterios_Match!$C$6</f>
        <v>11.700000000000001</v>
      </c>
      <c r="Q100" s="3">
        <f>H100*Criterios_Match!$C$7</f>
        <v>3.64</v>
      </c>
      <c r="R100" s="3">
        <f>I100*Criterios_Match!$C$8</f>
        <v>13.719999999999999</v>
      </c>
      <c r="S100" s="3">
        <f>J100*Criterios_Match!$C$9</f>
        <v>8.1</v>
      </c>
      <c r="T100" s="3">
        <f>K100*Criterios_Match!$C$10</f>
        <v>4.32</v>
      </c>
      <c r="U100" s="3">
        <f>L100*Criterios_Match!$C$11</f>
        <v>4</v>
      </c>
      <c r="V100" s="3">
        <f>M100*Criterios_Match!$C$12</f>
        <v>4.75</v>
      </c>
      <c r="W100" s="3">
        <f t="shared" si="4"/>
        <v>68.709999999999994</v>
      </c>
      <c r="X100" s="3">
        <f t="shared" si="5"/>
        <v>13</v>
      </c>
      <c r="Y100" s="2" t="s">
        <v>308</v>
      </c>
      <c r="Z100" s="2" t="s">
        <v>313</v>
      </c>
      <c r="AA100" s="2" t="s">
        <v>328</v>
      </c>
      <c r="AB100" s="2"/>
      <c r="AC100" s="2" t="s">
        <v>323</v>
      </c>
    </row>
    <row r="101" spans="1:29" ht="57">
      <c r="A101" s="2" t="s">
        <v>217</v>
      </c>
      <c r="B101" s="2" t="s">
        <v>218</v>
      </c>
      <c r="C101" s="2" t="s">
        <v>149</v>
      </c>
      <c r="D101" s="2" t="s">
        <v>150</v>
      </c>
      <c r="E101" s="3">
        <v>0.53</v>
      </c>
      <c r="F101" s="3">
        <v>0</v>
      </c>
      <c r="G101" s="3">
        <v>0.65</v>
      </c>
      <c r="H101" s="3">
        <v>0.72</v>
      </c>
      <c r="I101" s="3">
        <v>0.98</v>
      </c>
      <c r="J101" s="3">
        <v>0.25</v>
      </c>
      <c r="K101" s="3">
        <v>1</v>
      </c>
      <c r="L101" s="3">
        <v>1</v>
      </c>
      <c r="M101" s="3">
        <v>0.95</v>
      </c>
      <c r="N101" s="3">
        <v>2.91</v>
      </c>
      <c r="O101" s="3">
        <f>E101*Criterios_Match!$C$5</f>
        <v>15.9</v>
      </c>
      <c r="P101" s="3">
        <f>G101*Criterios_Match!$C$6</f>
        <v>11.700000000000001</v>
      </c>
      <c r="Q101" s="3">
        <f>H101*Criterios_Match!$C$7</f>
        <v>10.08</v>
      </c>
      <c r="R101" s="3">
        <f>I101*Criterios_Match!$C$8</f>
        <v>13.719999999999999</v>
      </c>
      <c r="S101" s="3">
        <f>J101*Criterios_Match!$C$9</f>
        <v>2.25</v>
      </c>
      <c r="T101" s="3">
        <f>K101*Criterios_Match!$C$10</f>
        <v>6</v>
      </c>
      <c r="U101" s="3">
        <f>L101*Criterios_Match!$C$11</f>
        <v>4</v>
      </c>
      <c r="V101" s="3">
        <f>M101*Criterios_Match!$C$12</f>
        <v>4.75</v>
      </c>
      <c r="W101" s="3">
        <f t="shared" ref="W101:W104" si="6">ROUND(SUM(O101:V101)+N101,2)</f>
        <v>71.31</v>
      </c>
      <c r="X101" s="3">
        <f t="shared" ref="X101:X104" si="7">COUNTIFS($A$5:$A$104,A101,$W$5:$W$104,"&gt;"&amp;W101)+1</f>
        <v>9</v>
      </c>
      <c r="Y101" s="2" t="s">
        <v>308</v>
      </c>
      <c r="Z101" s="2" t="s">
        <v>313</v>
      </c>
      <c r="AA101" s="2" t="s">
        <v>314</v>
      </c>
      <c r="AB101" s="2"/>
      <c r="AC101" s="2" t="s">
        <v>323</v>
      </c>
    </row>
    <row r="102" spans="1:29" ht="57">
      <c r="A102" s="2" t="s">
        <v>217</v>
      </c>
      <c r="B102" s="2" t="s">
        <v>218</v>
      </c>
      <c r="C102" s="2" t="s">
        <v>153</v>
      </c>
      <c r="D102" s="2" t="s">
        <v>154</v>
      </c>
      <c r="E102" s="3">
        <v>0.45</v>
      </c>
      <c r="F102" s="3">
        <v>0</v>
      </c>
      <c r="G102" s="3">
        <v>0.65</v>
      </c>
      <c r="H102" s="3">
        <v>0.74</v>
      </c>
      <c r="I102" s="3">
        <v>0.59</v>
      </c>
      <c r="J102" s="3">
        <v>0.9</v>
      </c>
      <c r="K102" s="3">
        <v>0.9</v>
      </c>
      <c r="L102" s="3">
        <v>0.4</v>
      </c>
      <c r="M102" s="3">
        <v>1</v>
      </c>
      <c r="N102" s="3">
        <v>4.92</v>
      </c>
      <c r="O102" s="3">
        <f>E102*Criterios_Match!$C$5</f>
        <v>13.5</v>
      </c>
      <c r="P102" s="3">
        <f>G102*Criterios_Match!$C$6</f>
        <v>11.700000000000001</v>
      </c>
      <c r="Q102" s="3">
        <f>H102*Criterios_Match!$C$7</f>
        <v>10.36</v>
      </c>
      <c r="R102" s="3">
        <f>I102*Criterios_Match!$C$8</f>
        <v>8.26</v>
      </c>
      <c r="S102" s="3">
        <f>J102*Criterios_Match!$C$9</f>
        <v>8.1</v>
      </c>
      <c r="T102" s="3">
        <f>K102*Criterios_Match!$C$10</f>
        <v>5.4</v>
      </c>
      <c r="U102" s="3">
        <f>L102*Criterios_Match!$C$11</f>
        <v>1.6</v>
      </c>
      <c r="V102" s="3">
        <f>M102*Criterios_Match!$C$12</f>
        <v>5</v>
      </c>
      <c r="W102" s="3">
        <f t="shared" si="6"/>
        <v>68.84</v>
      </c>
      <c r="X102" s="3">
        <f t="shared" si="7"/>
        <v>12</v>
      </c>
      <c r="Y102" s="2" t="s">
        <v>308</v>
      </c>
      <c r="Z102" s="2" t="s">
        <v>313</v>
      </c>
      <c r="AA102" s="2" t="s">
        <v>328</v>
      </c>
      <c r="AB102" s="2" t="s">
        <v>314</v>
      </c>
      <c r="AC102" s="2" t="s">
        <v>323</v>
      </c>
    </row>
    <row r="103" spans="1:29" ht="57">
      <c r="A103" s="2" t="s">
        <v>217</v>
      </c>
      <c r="B103" s="2" t="s">
        <v>218</v>
      </c>
      <c r="C103" s="2" t="s">
        <v>158</v>
      </c>
      <c r="D103" s="2" t="s">
        <v>159</v>
      </c>
      <c r="E103" s="3">
        <v>0.38</v>
      </c>
      <c r="F103" s="3">
        <v>0</v>
      </c>
      <c r="G103" s="3">
        <v>0.65</v>
      </c>
      <c r="H103" s="3">
        <v>0.76</v>
      </c>
      <c r="I103" s="3">
        <v>0.91</v>
      </c>
      <c r="J103" s="3">
        <v>1</v>
      </c>
      <c r="K103" s="3">
        <v>0.96</v>
      </c>
      <c r="L103" s="3">
        <v>1</v>
      </c>
      <c r="M103" s="3">
        <v>1</v>
      </c>
      <c r="N103" s="3">
        <v>5.28</v>
      </c>
      <c r="O103" s="3">
        <f>E103*Criterios_Match!$C$5</f>
        <v>11.4</v>
      </c>
      <c r="P103" s="3">
        <f>G103*Criterios_Match!$C$6</f>
        <v>11.700000000000001</v>
      </c>
      <c r="Q103" s="3">
        <f>H103*Criterios_Match!$C$7</f>
        <v>10.64</v>
      </c>
      <c r="R103" s="3">
        <f>I103*Criterios_Match!$C$8</f>
        <v>12.74</v>
      </c>
      <c r="S103" s="3">
        <f>J103*Criterios_Match!$C$9</f>
        <v>9</v>
      </c>
      <c r="T103" s="3">
        <f>K103*Criterios_Match!$C$10</f>
        <v>5.76</v>
      </c>
      <c r="U103" s="3">
        <f>L103*Criterios_Match!$C$11</f>
        <v>4</v>
      </c>
      <c r="V103" s="3">
        <f>M103*Criterios_Match!$C$12</f>
        <v>5</v>
      </c>
      <c r="W103" s="3">
        <f t="shared" si="6"/>
        <v>75.52</v>
      </c>
      <c r="X103" s="3">
        <f t="shared" si="7"/>
        <v>4</v>
      </c>
      <c r="Y103" s="2" t="s">
        <v>308</v>
      </c>
      <c r="Z103" s="2" t="s">
        <v>328</v>
      </c>
      <c r="AA103" s="2" t="s">
        <v>314</v>
      </c>
      <c r="AB103" s="2"/>
      <c r="AC103" s="2" t="s">
        <v>323</v>
      </c>
    </row>
    <row r="104" spans="1:29" ht="57">
      <c r="A104" s="2" t="s">
        <v>217</v>
      </c>
      <c r="B104" s="2" t="s">
        <v>218</v>
      </c>
      <c r="C104" s="2" t="s">
        <v>162</v>
      </c>
      <c r="D104" s="2" t="s">
        <v>163</v>
      </c>
      <c r="E104" s="3">
        <v>0.53</v>
      </c>
      <c r="F104" s="3">
        <v>0</v>
      </c>
      <c r="G104" s="3">
        <v>0.65</v>
      </c>
      <c r="H104" s="3">
        <v>0.77</v>
      </c>
      <c r="I104" s="3">
        <v>0.73</v>
      </c>
      <c r="J104" s="3">
        <v>0.9</v>
      </c>
      <c r="K104" s="3">
        <v>1</v>
      </c>
      <c r="L104" s="3">
        <v>0.4</v>
      </c>
      <c r="M104" s="3">
        <v>0.95</v>
      </c>
      <c r="N104" s="3">
        <v>5.01</v>
      </c>
      <c r="O104" s="3">
        <f>E104*Criterios_Match!$C$5</f>
        <v>15.9</v>
      </c>
      <c r="P104" s="3">
        <f>G104*Criterios_Match!$C$6</f>
        <v>11.700000000000001</v>
      </c>
      <c r="Q104" s="3">
        <f>H104*Criterios_Match!$C$7</f>
        <v>10.780000000000001</v>
      </c>
      <c r="R104" s="3">
        <f>I104*Criterios_Match!$C$8</f>
        <v>10.219999999999999</v>
      </c>
      <c r="S104" s="3">
        <f>J104*Criterios_Match!$C$9</f>
        <v>8.1</v>
      </c>
      <c r="T104" s="3">
        <f>K104*Criterios_Match!$C$10</f>
        <v>6</v>
      </c>
      <c r="U104" s="3">
        <f>L104*Criterios_Match!$C$11</f>
        <v>1.6</v>
      </c>
      <c r="V104" s="3">
        <f>M104*Criterios_Match!$C$12</f>
        <v>4.75</v>
      </c>
      <c r="W104" s="3">
        <f t="shared" si="6"/>
        <v>74.06</v>
      </c>
      <c r="X104" s="3">
        <f t="shared" si="7"/>
        <v>5</v>
      </c>
      <c r="Y104" s="2" t="s">
        <v>308</v>
      </c>
      <c r="Z104" s="2" t="s">
        <v>313</v>
      </c>
      <c r="AA104" s="2" t="s">
        <v>328</v>
      </c>
      <c r="AB104" s="2" t="s">
        <v>314</v>
      </c>
      <c r="AC104" s="2" t="s">
        <v>323</v>
      </c>
    </row>
  </sheetData>
  <mergeCells count="2">
    <mergeCell ref="A1:AC1"/>
    <mergeCell ref="A2:AC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9"/>
  <sheetViews>
    <sheetView workbookViewId="0">
      <selection sqref="A1:J1"/>
    </sheetView>
  </sheetViews>
  <sheetFormatPr baseColWidth="10" defaultColWidth="9" defaultRowHeight="14.25"/>
  <cols>
    <col min="1" max="1" width="10" customWidth="1"/>
    <col min="2" max="2" width="18" customWidth="1"/>
    <col min="3" max="3" width="8" customWidth="1"/>
    <col min="4" max="4" width="10" customWidth="1"/>
    <col min="5" max="5" width="18" customWidth="1"/>
    <col min="6" max="6" width="10" customWidth="1"/>
    <col min="7" max="7" width="28" customWidth="1"/>
    <col min="8" max="9" width="36" customWidth="1"/>
    <col min="10" max="10" width="42" customWidth="1"/>
  </cols>
  <sheetData>
    <row r="1" spans="1:10" ht="26.1" customHeight="1">
      <c r="A1" s="7" t="s">
        <v>330</v>
      </c>
      <c r="B1" s="7"/>
      <c r="C1" s="7"/>
      <c r="D1" s="7"/>
      <c r="E1" s="7"/>
      <c r="F1" s="7"/>
      <c r="G1" s="7"/>
      <c r="H1" s="7"/>
      <c r="I1" s="7"/>
      <c r="J1" s="7"/>
    </row>
    <row r="2" spans="1:10" ht="33.950000000000003" customHeight="1">
      <c r="A2" s="8" t="s">
        <v>331</v>
      </c>
      <c r="B2" s="8"/>
      <c r="C2" s="8"/>
      <c r="D2" s="8"/>
      <c r="E2" s="8"/>
      <c r="F2" s="8"/>
      <c r="G2" s="8"/>
      <c r="H2" s="8"/>
      <c r="I2" s="8"/>
      <c r="J2" s="8"/>
    </row>
    <row r="4" spans="1:10" ht="24" customHeight="1">
      <c r="A4" s="1" t="s">
        <v>281</v>
      </c>
      <c r="B4" s="1" t="s">
        <v>167</v>
      </c>
      <c r="C4" s="1" t="s">
        <v>332</v>
      </c>
      <c r="D4" s="1" t="s">
        <v>282</v>
      </c>
      <c r="E4" s="1" t="s">
        <v>283</v>
      </c>
      <c r="F4" s="1" t="s">
        <v>333</v>
      </c>
      <c r="G4" s="1" t="s">
        <v>235</v>
      </c>
      <c r="H4" s="1" t="s">
        <v>304</v>
      </c>
      <c r="I4" s="1" t="s">
        <v>305</v>
      </c>
      <c r="J4" s="1" t="s">
        <v>307</v>
      </c>
    </row>
    <row r="5" spans="1:10" ht="33.950000000000003" customHeight="1">
      <c r="A5" s="2" t="s">
        <v>182</v>
      </c>
      <c r="B5" s="2" t="s">
        <v>183</v>
      </c>
      <c r="C5" s="2">
        <v>1</v>
      </c>
      <c r="D5" s="2" t="s">
        <v>138</v>
      </c>
      <c r="E5" s="2" t="s">
        <v>139</v>
      </c>
      <c r="F5" s="3">
        <v>86.65</v>
      </c>
      <c r="G5" s="2" t="s">
        <v>308</v>
      </c>
      <c r="H5" s="2" t="s">
        <v>313</v>
      </c>
      <c r="I5" s="2" t="s">
        <v>309</v>
      </c>
      <c r="J5" s="2" t="s">
        <v>312</v>
      </c>
    </row>
    <row r="6" spans="1:10" ht="33.950000000000003" customHeight="1">
      <c r="A6" s="2" t="s">
        <v>182</v>
      </c>
      <c r="B6" s="2" t="s">
        <v>183</v>
      </c>
      <c r="C6" s="2">
        <v>2</v>
      </c>
      <c r="D6" s="2" t="s">
        <v>51</v>
      </c>
      <c r="E6" s="2" t="s">
        <v>52</v>
      </c>
      <c r="F6" s="3">
        <v>82.7</v>
      </c>
      <c r="G6" s="2" t="s">
        <v>308</v>
      </c>
      <c r="H6" s="2" t="s">
        <v>313</v>
      </c>
      <c r="I6" s="2" t="s">
        <v>309</v>
      </c>
      <c r="J6" s="2" t="s">
        <v>312</v>
      </c>
    </row>
    <row r="7" spans="1:10" ht="33.950000000000003" customHeight="1">
      <c r="A7" s="2" t="s">
        <v>182</v>
      </c>
      <c r="B7" s="2" t="s">
        <v>183</v>
      </c>
      <c r="C7" s="2">
        <v>3</v>
      </c>
      <c r="D7" s="2" t="s">
        <v>115</v>
      </c>
      <c r="E7" s="2" t="s">
        <v>116</v>
      </c>
      <c r="F7" s="3">
        <v>81.36</v>
      </c>
      <c r="G7" s="2" t="s">
        <v>308</v>
      </c>
      <c r="H7" s="2" t="s">
        <v>313</v>
      </c>
      <c r="I7" s="2" t="s">
        <v>309</v>
      </c>
      <c r="J7" s="2" t="s">
        <v>312</v>
      </c>
    </row>
    <row r="8" spans="1:10" ht="33.950000000000003" customHeight="1">
      <c r="A8" s="2" t="s">
        <v>191</v>
      </c>
      <c r="B8" s="2" t="s">
        <v>192</v>
      </c>
      <c r="C8" s="2">
        <v>1</v>
      </c>
      <c r="D8" s="2" t="s">
        <v>162</v>
      </c>
      <c r="E8" s="2" t="s">
        <v>163</v>
      </c>
      <c r="F8" s="3">
        <v>83.47</v>
      </c>
      <c r="G8" s="2" t="s">
        <v>321</v>
      </c>
      <c r="H8" s="2" t="s">
        <v>313</v>
      </c>
      <c r="I8" s="2" t="s">
        <v>322</v>
      </c>
      <c r="J8" s="2" t="s">
        <v>319</v>
      </c>
    </row>
    <row r="9" spans="1:10" ht="33.950000000000003" customHeight="1">
      <c r="A9" s="2" t="s">
        <v>191</v>
      </c>
      <c r="B9" s="2" t="s">
        <v>192</v>
      </c>
      <c r="C9" s="2">
        <v>2</v>
      </c>
      <c r="D9" s="2" t="s">
        <v>81</v>
      </c>
      <c r="E9" s="2" t="s">
        <v>82</v>
      </c>
      <c r="F9" s="3">
        <v>78.67</v>
      </c>
      <c r="G9" s="2" t="s">
        <v>321</v>
      </c>
      <c r="H9" s="2" t="s">
        <v>317</v>
      </c>
      <c r="I9" s="2" t="s">
        <v>310</v>
      </c>
      <c r="J9" s="2" t="s">
        <v>319</v>
      </c>
    </row>
    <row r="10" spans="1:10" ht="33.950000000000003" customHeight="1">
      <c r="A10" s="2" t="s">
        <v>191</v>
      </c>
      <c r="B10" s="2" t="s">
        <v>192</v>
      </c>
      <c r="C10" s="2">
        <v>3</v>
      </c>
      <c r="D10" s="2" t="s">
        <v>41</v>
      </c>
      <c r="E10" s="2" t="s">
        <v>42</v>
      </c>
      <c r="F10" s="3">
        <v>78.099999999999994</v>
      </c>
      <c r="G10" s="2" t="s">
        <v>316</v>
      </c>
      <c r="H10" s="2" t="s">
        <v>317</v>
      </c>
      <c r="I10" s="2" t="s">
        <v>310</v>
      </c>
      <c r="J10" s="2" t="s">
        <v>318</v>
      </c>
    </row>
    <row r="11" spans="1:10" ht="33.950000000000003" customHeight="1">
      <c r="A11" s="2" t="s">
        <v>201</v>
      </c>
      <c r="B11" s="2" t="s">
        <v>202</v>
      </c>
      <c r="C11" s="2">
        <v>1</v>
      </c>
      <c r="D11" s="2" t="s">
        <v>142</v>
      </c>
      <c r="E11" s="2" t="s">
        <v>143</v>
      </c>
      <c r="F11" s="3">
        <v>89.45</v>
      </c>
      <c r="G11" s="2" t="s">
        <v>316</v>
      </c>
      <c r="H11" s="2" t="s">
        <v>324</v>
      </c>
      <c r="I11" s="2" t="s">
        <v>325</v>
      </c>
      <c r="J11" s="2" t="s">
        <v>326</v>
      </c>
    </row>
    <row r="12" spans="1:10" ht="33.950000000000003" customHeight="1">
      <c r="A12" s="2" t="s">
        <v>201</v>
      </c>
      <c r="B12" s="2" t="s">
        <v>202</v>
      </c>
      <c r="C12" s="2">
        <v>2</v>
      </c>
      <c r="D12" s="2" t="s">
        <v>62</v>
      </c>
      <c r="E12" s="2" t="s">
        <v>63</v>
      </c>
      <c r="F12" s="3">
        <v>88.83</v>
      </c>
      <c r="G12" s="2" t="s">
        <v>316</v>
      </c>
      <c r="H12" s="2" t="s">
        <v>324</v>
      </c>
      <c r="I12" s="2" t="s">
        <v>325</v>
      </c>
      <c r="J12" s="2" t="s">
        <v>326</v>
      </c>
    </row>
    <row r="13" spans="1:10" ht="33.950000000000003" customHeight="1">
      <c r="A13" s="2" t="s">
        <v>201</v>
      </c>
      <c r="B13" s="2" t="s">
        <v>202</v>
      </c>
      <c r="C13" s="2">
        <v>3</v>
      </c>
      <c r="D13" s="2" t="s">
        <v>119</v>
      </c>
      <c r="E13" s="2" t="s">
        <v>120</v>
      </c>
      <c r="F13" s="3">
        <v>81.09</v>
      </c>
      <c r="G13" s="2" t="s">
        <v>308</v>
      </c>
      <c r="H13" s="2" t="s">
        <v>317</v>
      </c>
      <c r="I13" s="2" t="s">
        <v>325</v>
      </c>
      <c r="J13" s="2" t="s">
        <v>323</v>
      </c>
    </row>
    <row r="14" spans="1:10" ht="33.950000000000003" customHeight="1">
      <c r="A14" s="2" t="s">
        <v>211</v>
      </c>
      <c r="B14" s="2" t="s">
        <v>212</v>
      </c>
      <c r="C14" s="2">
        <v>1</v>
      </c>
      <c r="D14" s="2" t="s">
        <v>62</v>
      </c>
      <c r="E14" s="2" t="s">
        <v>63</v>
      </c>
      <c r="F14" s="3">
        <v>82.84</v>
      </c>
      <c r="G14" s="2" t="s">
        <v>308</v>
      </c>
      <c r="H14" s="2" t="s">
        <v>313</v>
      </c>
      <c r="I14" s="2" t="s">
        <v>327</v>
      </c>
      <c r="J14" s="2" t="s">
        <v>319</v>
      </c>
    </row>
    <row r="15" spans="1:10" ht="33.950000000000003" customHeight="1">
      <c r="A15" s="2" t="s">
        <v>211</v>
      </c>
      <c r="B15" s="2" t="s">
        <v>212</v>
      </c>
      <c r="C15" s="2">
        <v>2</v>
      </c>
      <c r="D15" s="2" t="s">
        <v>106</v>
      </c>
      <c r="E15" s="2" t="s">
        <v>107</v>
      </c>
      <c r="F15" s="3">
        <v>79.599999999999994</v>
      </c>
      <c r="G15" s="2" t="s">
        <v>308</v>
      </c>
      <c r="H15" s="2" t="s">
        <v>327</v>
      </c>
      <c r="I15" s="2" t="s">
        <v>310</v>
      </c>
      <c r="J15" s="2" t="s">
        <v>319</v>
      </c>
    </row>
    <row r="16" spans="1:10" ht="33.950000000000003" customHeight="1">
      <c r="A16" s="2" t="s">
        <v>211</v>
      </c>
      <c r="B16" s="2" t="s">
        <v>212</v>
      </c>
      <c r="C16" s="2">
        <v>3</v>
      </c>
      <c r="D16" s="2" t="s">
        <v>126</v>
      </c>
      <c r="E16" s="2" t="s">
        <v>127</v>
      </c>
      <c r="F16" s="3">
        <v>79.069999999999993</v>
      </c>
      <c r="G16" s="2" t="s">
        <v>308</v>
      </c>
      <c r="H16" s="2" t="s">
        <v>313</v>
      </c>
      <c r="I16" s="2" t="s">
        <v>327</v>
      </c>
      <c r="J16" s="2" t="s">
        <v>319</v>
      </c>
    </row>
    <row r="17" spans="1:10" ht="33.950000000000003" customHeight="1">
      <c r="A17" s="2" t="s">
        <v>217</v>
      </c>
      <c r="B17" s="2" t="s">
        <v>218</v>
      </c>
      <c r="C17" s="2">
        <v>1</v>
      </c>
      <c r="D17" s="2" t="s">
        <v>138</v>
      </c>
      <c r="E17" s="2" t="s">
        <v>139</v>
      </c>
      <c r="F17" s="3">
        <v>72.739999999999995</v>
      </c>
      <c r="G17" s="2" t="s">
        <v>308</v>
      </c>
      <c r="H17" s="2" t="s">
        <v>328</v>
      </c>
      <c r="I17" s="2" t="s">
        <v>311</v>
      </c>
      <c r="J17" s="2" t="s">
        <v>323</v>
      </c>
    </row>
    <row r="18" spans="1:10" ht="33.950000000000003" customHeight="1">
      <c r="A18" s="2" t="s">
        <v>217</v>
      </c>
      <c r="B18" s="2" t="s">
        <v>218</v>
      </c>
      <c r="C18" s="2">
        <v>2</v>
      </c>
      <c r="D18" s="2" t="s">
        <v>119</v>
      </c>
      <c r="E18" s="2" t="s">
        <v>120</v>
      </c>
      <c r="F18" s="3">
        <v>72.66</v>
      </c>
      <c r="G18" s="2" t="s">
        <v>308</v>
      </c>
      <c r="H18" s="2" t="s">
        <v>313</v>
      </c>
      <c r="I18" s="2" t="s">
        <v>328</v>
      </c>
      <c r="J18" s="2" t="s">
        <v>323</v>
      </c>
    </row>
    <row r="19" spans="1:10" ht="33.950000000000003" customHeight="1">
      <c r="A19" s="2" t="s">
        <v>217</v>
      </c>
      <c r="B19" s="2" t="s">
        <v>218</v>
      </c>
      <c r="C19" s="2">
        <v>3</v>
      </c>
      <c r="D19" s="2" t="s">
        <v>158</v>
      </c>
      <c r="E19" s="2" t="s">
        <v>159</v>
      </c>
      <c r="F19" s="3">
        <v>70.12</v>
      </c>
      <c r="G19" s="2" t="s">
        <v>308</v>
      </c>
      <c r="H19" s="2" t="s">
        <v>328</v>
      </c>
      <c r="I19" s="2" t="s">
        <v>314</v>
      </c>
      <c r="J19" s="2" t="s">
        <v>323</v>
      </c>
    </row>
  </sheetData>
  <mergeCells count="2">
    <mergeCell ref="A1:J1"/>
    <mergeCell ref="A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Resumen</vt:lpstr>
      <vt:lpstr>Creativos_20</vt:lpstr>
      <vt:lpstr>MiPymes_5</vt:lpstr>
      <vt:lpstr>Criterios_Match</vt:lpstr>
      <vt:lpstr>Pairings_100</vt:lpstr>
      <vt:lpstr>Top3_por_MiPyme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Pablo Mendez Morales</cp:lastModifiedBy>
  <dcterms:modified xsi:type="dcterms:W3CDTF">2026-04-27T21:26:15Z</dcterms:modified>
</cp:coreProperties>
</file>